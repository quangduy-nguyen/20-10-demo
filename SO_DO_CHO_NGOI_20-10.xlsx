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88B8840-F883-4550-9F93-2CCCBEFBA1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Ơ ĐỒ BÀN" sheetId="1" r:id="rId1"/>
    <sheet name="DANH SÁCH KHÁCH" sheetId="2" r:id="rId2"/>
  </sheets>
  <definedNames>
    <definedName name="_xlnm._FilterDatabase" localSheetId="1" hidden="1">'DANH SÁCH KHÁCH'!$A$10:$G$66</definedName>
    <definedName name="_xlnm.Print_Area" localSheetId="1">'DANH SÁCH KHÁCH'!$A$1:$G$66</definedName>
    <definedName name="_xlnm.Print_Area" localSheetId="0">'SƠ ĐỒ BÀN'!$A$1:$CR$66</definedName>
    <definedName name="_xlnm.Print_Titles" localSheetId="1">'DANH SÁCH KHÁCH'!$1:$10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2" l="1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E7" i="2"/>
  <c r="C7" i="2"/>
  <c r="CD52" i="1"/>
  <c r="BX52" i="1"/>
  <c r="BR52" i="1"/>
  <c r="BE52" i="1"/>
  <c r="AY52" i="1"/>
  <c r="AS52" i="1"/>
  <c r="AH52" i="1"/>
  <c r="AB52" i="1"/>
  <c r="V52" i="1"/>
  <c r="CD44" i="1"/>
  <c r="BX44" i="1"/>
  <c r="BR44" i="1"/>
  <c r="BE44" i="1"/>
  <c r="AY44" i="1"/>
  <c r="AS44" i="1"/>
  <c r="AH44" i="1"/>
  <c r="AB44" i="1"/>
  <c r="V44" i="1"/>
  <c r="CD39" i="1"/>
  <c r="BZ39" i="1"/>
  <c r="BV39" i="1"/>
  <c r="BR39" i="1"/>
  <c r="BH39" i="1"/>
  <c r="BB39" i="1"/>
  <c r="AV39" i="1"/>
  <c r="AP39" i="1"/>
  <c r="AI39" i="1"/>
  <c r="AC39" i="1"/>
  <c r="W39" i="1"/>
  <c r="CD30" i="1"/>
  <c r="BZ30" i="1"/>
  <c r="BV30" i="1"/>
  <c r="BR30" i="1"/>
  <c r="BH30" i="1"/>
  <c r="BB30" i="1"/>
  <c r="AV30" i="1"/>
  <c r="AP30" i="1"/>
  <c r="AI30" i="1"/>
  <c r="AC30" i="1"/>
  <c r="W30" i="1"/>
  <c r="BY25" i="1"/>
  <c r="BT25" i="1"/>
  <c r="BJ25" i="1"/>
  <c r="BE25" i="1"/>
  <c r="AU25" i="1"/>
  <c r="AP25" i="1"/>
  <c r="AI25" i="1"/>
  <c r="AD25" i="1"/>
  <c r="BY18" i="1"/>
  <c r="BT18" i="1"/>
  <c r="BJ18" i="1"/>
  <c r="BE18" i="1"/>
  <c r="AU18" i="1"/>
  <c r="AP18" i="1"/>
  <c r="AI18" i="1"/>
  <c r="AD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Hướng dẫn</author>
  </authors>
  <commentList>
    <comment ref="AD1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Ghế số 1. Tên và thông tin ghế này được lấy từ DANH SÁCH KHÁCH!C11.</t>
        </r>
      </text>
    </comment>
    <comment ref="AI1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Ghế số 2. Tên và thông tin ghế này được lấy từ DANH SÁCH KHÁCH!C12.</t>
        </r>
      </text>
    </comment>
    <comment ref="AP1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Ghế số 3. Tên và thông tin ghế này được lấy từ DANH SÁCH KHÁCH!C13.</t>
        </r>
      </text>
    </comment>
    <comment ref="AU1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Ghế số 4. Tên và thông tin ghế này được lấy từ DANH SÁCH KHÁCH!C14.</t>
        </r>
      </text>
    </comment>
    <comment ref="BE1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Ghế số 5. Tên và thông tin ghế này được lấy từ DANH SÁCH KHÁCH!C15.</t>
        </r>
      </text>
    </comment>
    <comment ref="BJ1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Ghế số 6. Tên và thông tin ghế này được lấy từ DANH SÁCH KHÁCH!C16.</t>
        </r>
      </text>
    </comment>
    <comment ref="BT1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Ghế số 7. Tên và thông tin ghế này được lấy từ DANH SÁCH KHÁCH!C17.</t>
        </r>
      </text>
    </comment>
    <comment ref="BY1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Ghế số 8. Tên và thông tin ghế này được lấy từ DANH SÁCH KHÁCH!C18.</t>
        </r>
      </text>
    </comment>
    <comment ref="AD24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Ghế số 16. Tên và thông tin ghế này được lấy từ DANH SÁCH KHÁCH!C26.</t>
        </r>
      </text>
    </comment>
    <comment ref="AI2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Ghế số 15. Tên và thông tin ghế này được lấy từ DANH SÁCH KHÁCH!C25.</t>
        </r>
      </text>
    </comment>
    <comment ref="AP2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Ghế số 14. Tên và thông tin ghế này được lấy từ DANH SÁCH KHÁCH!C24.</t>
        </r>
      </text>
    </comment>
    <comment ref="AU24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Ghế số 13. Tên và thông tin ghế này được lấy từ DANH SÁCH KHÁCH!C23.</t>
        </r>
      </text>
    </comment>
    <comment ref="BE2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Ghế số 12. Tên và thông tin ghế này được lấy từ DANH SÁCH KHÁCH!C22.</t>
        </r>
      </text>
    </comment>
    <comment ref="BJ2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Ghế số 11. Tên và thông tin ghế này được lấy từ DANH SÁCH KHÁCH!C21.</t>
        </r>
      </text>
    </comment>
    <comment ref="BT2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Ghế số 10. Tên và thông tin ghế này được lấy từ DANH SÁCH KHÁCH!C20.</t>
        </r>
      </text>
    </comment>
    <comment ref="BY24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Ghế số 9. Tên và thông tin ghế này được lấy từ DANH SÁCH KHÁCH!C19.</t>
        </r>
      </text>
    </comment>
    <comment ref="W29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Ghế số 33. Tên và thông tin ghế này được lấy từ DANH SÁCH KHÁCH!C43.</t>
        </r>
      </text>
    </comment>
    <comment ref="AC29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Ghế số 34. Tên và thông tin ghế này được lấy từ DANH SÁCH KHÁCH!C44.</t>
        </r>
      </text>
    </comment>
    <comment ref="AI29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Ghế số 35. Tên và thông tin ghế này được lấy từ DANH SÁCH KHÁCH!C45.</t>
        </r>
      </text>
    </comment>
    <comment ref="AP29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Ghế số 17. Tên và thông tin ghế này được lấy từ DANH SÁCH KHÁCH!C27.</t>
        </r>
      </text>
    </comment>
    <comment ref="AV29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Ghế số 18. Tên và thông tin ghế này được lấy từ DANH SÁCH KHÁCH!C28.</t>
        </r>
      </text>
    </comment>
    <comment ref="BB29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Ghế số 19. Tên và thông tin ghế này được lấy từ DANH SÁCH KHÁCH!C29.</t>
        </r>
      </text>
    </comment>
    <comment ref="BH29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Ghế số 20. Tên và thông tin ghế này được lấy từ DANH SÁCH KHÁCH!C30.</t>
        </r>
      </text>
    </comment>
    <comment ref="BR29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Ghế số 25. Tên và thông tin ghế này được lấy từ DANH SÁCH KHÁCH!C35.</t>
        </r>
      </text>
    </comment>
    <comment ref="BV2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Ghế số 26. Tên và thông tin ghế này được lấy từ DANH SÁCH KHÁCH!C36.</t>
        </r>
      </text>
    </comment>
    <comment ref="BZ29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Ghế số 27. Tên và thông tin ghế này được lấy từ DANH SÁCH KHÁCH!C37.</t>
        </r>
      </text>
    </comment>
    <comment ref="CD29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Ghế số 28. Tên và thông tin ghế này được lấy từ DANH SÁCH KHÁCH!C38.</t>
        </r>
      </text>
    </comment>
    <comment ref="W38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Ghế số 38. Tên và thông tin ghế này được lấy từ DANH SÁCH KHÁCH!C48.</t>
        </r>
      </text>
    </comment>
    <comment ref="AC38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Ghế số 37. Tên và thông tin ghế này được lấy từ DANH SÁCH KHÁCH!C47.</t>
        </r>
      </text>
    </comment>
    <comment ref="AI38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Ghế số 36. Tên và thông tin ghế này được lấy từ DANH SÁCH KHÁCH!C46.</t>
        </r>
      </text>
    </comment>
    <comment ref="AP38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Ghế số 24. Tên và thông tin ghế này được lấy từ DANH SÁCH KHÁCH!C34.</t>
        </r>
      </text>
    </comment>
    <comment ref="AV38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Ghế số 23. Tên và thông tin ghế này được lấy từ DANH SÁCH KHÁCH!C33.</t>
        </r>
      </text>
    </comment>
    <comment ref="BB38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Ghế số 22. Tên và thông tin ghế này được lấy từ DANH SÁCH KHÁCH!C32.</t>
        </r>
      </text>
    </comment>
    <comment ref="BH38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Ghế số 21. Tên và thông tin ghế này được lấy từ DANH SÁCH KHÁCH!C31.</t>
        </r>
      </text>
    </comment>
    <comment ref="BR38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Ghế số 32. Tên và thông tin ghế này được lấy từ DANH SÁCH KHÁCH!C42.</t>
        </r>
      </text>
    </comment>
    <comment ref="BV38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Ghế số 31. Tên và thông tin ghế này được lấy từ DANH SÁCH KHÁCH!C41.</t>
        </r>
      </text>
    </comment>
    <comment ref="BZ38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Ghế số 30. Tên và thông tin ghế này được lấy từ DANH SÁCH KHÁCH!C40.</t>
        </r>
      </text>
    </comment>
    <comment ref="CD38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Ghế số 29. Tên và thông tin ghế này được lấy từ DANH SÁCH KHÁCH!C39.</t>
        </r>
      </text>
    </comment>
    <comment ref="V43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Ghế số 39. Tên và thông tin ghế này được lấy từ DANH SÁCH KHÁCH!C49.</t>
        </r>
      </text>
    </comment>
    <comment ref="AB43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Ghế số 40. Tên và thông tin ghế này được lấy từ DANH SÁCH KHÁCH!C50.</t>
        </r>
      </text>
    </comment>
    <comment ref="AH43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Ghế số 41. Tên và thông tin ghế này được lấy từ DANH SÁCH KHÁCH!C51.</t>
        </r>
      </text>
    </comment>
    <comment ref="AS43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Ghế số 45. Tên và thông tin ghế này được lấy từ DANH SÁCH KHÁCH!C55.</t>
        </r>
      </text>
    </comment>
    <comment ref="AY43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Ghế số 46. Tên và thông tin ghế này được lấy từ DANH SÁCH KHÁCH!C56.</t>
        </r>
      </text>
    </comment>
    <comment ref="BE43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Ghế số 47. Tên và thông tin ghế này được lấy từ DANH SÁCH KHÁCH!C57.</t>
        </r>
      </text>
    </comment>
    <comment ref="BR43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Ghế số 51. Tên và thông tin ghế này được lấy từ DANH SÁCH KHÁCH!C61.</t>
        </r>
      </text>
    </comment>
    <comment ref="BX43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Ghế số 52. Tên và thông tin ghế này được lấy từ DANH SÁCH KHÁCH!C62.</t>
        </r>
      </text>
    </comment>
    <comment ref="CD43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Ghế số 53. Tên và thông tin ghế này được lấy từ DANH SÁCH KHÁCH!C63.</t>
        </r>
      </text>
    </comment>
    <comment ref="V51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Ghế số 44. Tên và thông tin ghế này được lấy từ DANH SÁCH KHÁCH!C54.</t>
        </r>
      </text>
    </comment>
    <comment ref="AB51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Ghế số 43. Tên và thông tin ghế này được lấy từ DANH SÁCH KHÁCH!C53.</t>
        </r>
      </text>
    </comment>
    <comment ref="AH51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Ghế số 42. Tên và thông tin ghế này được lấy từ DANH SÁCH KHÁCH!C52.</t>
        </r>
      </text>
    </comment>
    <comment ref="AS51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Ghế số 50. Tên và thông tin ghế này được lấy từ DANH SÁCH KHÁCH!C60.</t>
        </r>
      </text>
    </comment>
    <comment ref="AY51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Ghế số 49. Tên và thông tin ghế này được lấy từ DANH SÁCH KHÁCH!C59.</t>
        </r>
      </text>
    </comment>
    <comment ref="BE51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Ghế số 48. Tên và thông tin ghế này được lấy từ DANH SÁCH KHÁCH!C58.</t>
        </r>
      </text>
    </comment>
    <comment ref="BR51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Ghế số 56. Tên và thông tin ghế này được lấy từ DANH SÁCH KHÁCH!C66.</t>
        </r>
      </text>
    </comment>
    <comment ref="BX51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Ghế số 55. Tên và thông tin ghế này được lấy từ DANH SÁCH KHÁCH!C65.</t>
        </r>
      </text>
    </comment>
    <comment ref="CD51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Ghế số 54. Tên và thông tin ghế này được lấy từ DANH SÁCH KHÁCH!C64.</t>
        </r>
      </text>
    </comment>
  </commentList>
</comments>
</file>

<file path=xl/sharedStrings.xml><?xml version="1.0" encoding="utf-8"?>
<sst xmlns="http://schemas.openxmlformats.org/spreadsheetml/2006/main" count="210" uniqueCount="157">
  <si>
    <t>SƠ ĐỒ SẮP XẾP BÀN &amp; VỊ TRÍ KHÁCH MỜI – 56 CHỖ NGỒI</t>
  </si>
  <si>
    <t>Nhập họ tên tại sheet “DANH SÁCH KHÁCH” → tên tự hiển thị tại số ghế trên sơ đồ. Có thể in khổ A3 ngang.</t>
  </si>
  <si>
    <t>MẶT ĐƯỜNG LÊ ĐỨC THỌ</t>
  </si>
  <si>
    <t>KHU BUFFET</t>
  </si>
  <si>
    <t>LỐI VÀO</t>
  </si>
  <si>
    <t>KHU BUFFET VÀ
KHÔNG GIAN KHÁC</t>
  </si>
  <si>
    <t>GHẾ ĐỆM CÓ DỰA</t>
  </si>
  <si>
    <t>1</t>
  </si>
  <si>
    <t>2</t>
  </si>
  <si>
    <t>3</t>
  </si>
  <si>
    <t>4</t>
  </si>
  <si>
    <t>5</t>
  </si>
  <si>
    <t>6</t>
  </si>
  <si>
    <t>7</t>
  </si>
  <si>
    <t>8</t>
  </si>
  <si>
    <t>KHÔNG GIAN KHÁC</t>
  </si>
  <si>
    <t>VÁCH
NGĂN</t>
  </si>
  <si>
    <t>B10</t>
  </si>
  <si>
    <t>B11</t>
  </si>
  <si>
    <t>B12</t>
  </si>
  <si>
    <t>B13</t>
  </si>
  <si>
    <t>16</t>
  </si>
  <si>
    <t>15</t>
  </si>
  <si>
    <t>14</t>
  </si>
  <si>
    <t>13</t>
  </si>
  <si>
    <t>12</t>
  </si>
  <si>
    <t>11</t>
  </si>
  <si>
    <t>10</t>
  </si>
  <si>
    <t>9</t>
  </si>
  <si>
    <t>BACKDROP</t>
  </si>
  <si>
    <t>33</t>
  </si>
  <si>
    <t>34</t>
  </si>
  <si>
    <t>35</t>
  </si>
  <si>
    <t>17</t>
  </si>
  <si>
    <t>18</t>
  </si>
  <si>
    <t>19</t>
  </si>
  <si>
    <t>20</t>
  </si>
  <si>
    <t>25</t>
  </si>
  <si>
    <t>26</t>
  </si>
  <si>
    <t>27</t>
  </si>
  <si>
    <t>28</t>
  </si>
  <si>
    <t>BÀN GHÉP</t>
  </si>
  <si>
    <t>BÀN DÀI BẰNG GỖ</t>
  </si>
  <si>
    <t>2 BÀN GHÉP</t>
  </si>
  <si>
    <t>38</t>
  </si>
  <si>
    <t>37</t>
  </si>
  <si>
    <t>36</t>
  </si>
  <si>
    <t>24</t>
  </si>
  <si>
    <t>23</t>
  </si>
  <si>
    <t>22</t>
  </si>
  <si>
    <t>21</t>
  </si>
  <si>
    <t>32</t>
  </si>
  <si>
    <t>31</t>
  </si>
  <si>
    <t>30</t>
  </si>
  <si>
    <t>29</t>
  </si>
  <si>
    <t>39</t>
  </si>
  <si>
    <t>40</t>
  </si>
  <si>
    <t>41</t>
  </si>
  <si>
    <t>45</t>
  </si>
  <si>
    <t>46</t>
  </si>
  <si>
    <t>47</t>
  </si>
  <si>
    <t>51</t>
  </si>
  <si>
    <t>52</t>
  </si>
  <si>
    <t>53</t>
  </si>
  <si>
    <t>44</t>
  </si>
  <si>
    <t>43</t>
  </si>
  <si>
    <t>42</t>
  </si>
  <si>
    <t>50</t>
  </si>
  <si>
    <t>49</t>
  </si>
  <si>
    <t>48</t>
  </si>
  <si>
    <t>56</t>
  </si>
  <si>
    <t>55</t>
  </si>
  <si>
    <t>54</t>
  </si>
  <si>
    <t>BÀN CHẮN,
NGĂN CÁCH
KHU BÊN CẠNH</t>
  </si>
  <si>
    <t>CỬA RA VÀO
NỐI KHU VIEW
CÂY XANH</t>
  </si>
  <si>
    <t>CỬA KÍNH NHÌN RA NỘI KHU</t>
  </si>
  <si>
    <t>CỬA RA VÀO NỐI
KHU VIEW CÂY XANH</t>
  </si>
  <si>
    <t>DANH SÁCH KHÁCH MỜI – 56 CHỖ NGỒI</t>
  </si>
  <si>
    <t>Điền HỌ VÀ TÊN tại các ô xanh nhạt (cột C); tên sẽ tự hiển thị lên sơ đồ tương ứng số ghế.</t>
  </si>
  <si>
    <t>TỔNG SỐ GHẾ</t>
  </si>
  <si>
    <t>ĐÃ ĐIỀN TÊN</t>
  </si>
  <si>
    <t>CÒN TRỐNG</t>
  </si>
  <si>
    <t>NGƯỜI CẦN KIỂM TRA</t>
  </si>
  <si>
    <t>45, 46, 47</t>
  </si>
  <si>
    <t>Lưu ý: tên 3 khách ở ghế 45–47 được nhập lại từ ảnh chụp; vui lòng kiểm tra tên/chính tả trước khi sử dụng.</t>
  </si>
  <si>
    <t>STT</t>
  </si>
  <si>
    <t>SỐ GHẾ</t>
  </si>
  <si>
    <t>HỌ VÀ TÊN KHÁCH</t>
  </si>
  <si>
    <t>ĐƠN VỊ / BỘ PHẬN</t>
  </si>
  <si>
    <t>BÀN / KHU VỰC</t>
  </si>
  <si>
    <t>GHI CHÚ</t>
  </si>
  <si>
    <t>TRẠNG THÁI</t>
  </si>
  <si>
    <t>B10 – Ghế đệm</t>
  </si>
  <si>
    <t>B11 – Ghế đệm</t>
  </si>
  <si>
    <t>B12 – Ghế đệm</t>
  </si>
  <si>
    <t>B13 – Ghế đệm</t>
  </si>
  <si>
    <t>Bàn dài bằng gỗ – Giữa</t>
  </si>
  <si>
    <t>2 bàn ghép – Giữa phải</t>
  </si>
  <si>
    <t>Bàn ghép – Giữa trái</t>
  </si>
  <si>
    <t>2 bàn ghép – Dưới trái</t>
  </si>
  <si>
    <t>Nguyễn Thị Việt Hằng</t>
  </si>
  <si>
    <t>2 bàn ghép – Dưới giữa</t>
  </si>
  <si>
    <t>Phạm Thị Hồng Minh</t>
  </si>
  <si>
    <t>Đỗ Thị Thu Hằng</t>
  </si>
  <si>
    <t>2 bàn ghép – Dưới phải</t>
  </si>
  <si>
    <t>TB</t>
  </si>
  <si>
    <t>PB</t>
  </si>
  <si>
    <t>Phạm Sơn</t>
  </si>
  <si>
    <t>Bùi Văn Thung</t>
  </si>
  <si>
    <t>Nguyễn Hải Đăng</t>
  </si>
  <si>
    <t>Dương Hải Vũ</t>
  </si>
  <si>
    <t>Đinh Hồng Quang</t>
  </si>
  <si>
    <t>Nguyễn Thị Minh Hồng</t>
  </si>
  <si>
    <t>Trần Thanh Hương</t>
  </si>
  <si>
    <t>Chu Thị Hồ Loan</t>
  </si>
  <si>
    <t>Hoàng Minh Thu</t>
  </si>
  <si>
    <t>Đinh Thị Quỳnh Hoa</t>
  </si>
  <si>
    <t>Nguyễn Thị Thúy Nga</t>
  </si>
  <si>
    <t>Nguyễn Hương Mai</t>
  </si>
  <si>
    <t>Trần Thu Hằng</t>
  </si>
  <si>
    <t>Cao Thanh Hoa</t>
  </si>
  <si>
    <t>Nguyễn Thị Thanh Nhàn</t>
  </si>
  <si>
    <t>Phan Thị Hồng Hạnh</t>
  </si>
  <si>
    <t>Hoàng Thị Thu Hiền</t>
  </si>
  <si>
    <t>Nguyễn Thị Vân</t>
  </si>
  <si>
    <t>Nguyễn Lan Anh</t>
  </si>
  <si>
    <t>Trương Thị Thanh Hà</t>
  </si>
  <si>
    <t>Nguyễn Thu Hà</t>
  </si>
  <si>
    <t>Trương Thị Huyền Trang</t>
  </si>
  <si>
    <t>Lê Thùy Linh</t>
  </si>
  <si>
    <t>Nguyễn Ngọc Huyền</t>
  </si>
  <si>
    <t>Nguyễn Ngọc Anh</t>
  </si>
  <si>
    <t>Phan Tiến Dũng</t>
  </si>
  <si>
    <t>Nguyễn Duy Trọng</t>
  </si>
  <si>
    <t>Nguyễn Thanh Hải</t>
  </si>
  <si>
    <t>Lê Xuân Giang</t>
  </si>
  <si>
    <t>Nguyễn Đức Giang</t>
  </si>
  <si>
    <t>Kiều Đức Quảng</t>
  </si>
  <si>
    <t>Khuất Duy Thành</t>
  </si>
  <si>
    <t>Phạm Văn Nam</t>
  </si>
  <si>
    <t>Nguyễn Tiến Mạnh</t>
  </si>
  <si>
    <t>Trần Trung Thành</t>
  </si>
  <si>
    <t>Đỗ Hồng Phong</t>
  </si>
  <si>
    <t>Đoàn Mạnh Văn</t>
  </si>
  <si>
    <t>Trần Thái Hạnh</t>
  </si>
  <si>
    <t>Ngô Đình Mạnh</t>
  </si>
  <si>
    <t>Nguyễn Đình Phán</t>
  </si>
  <si>
    <t>Hồ Sỹ Ngọc</t>
  </si>
  <si>
    <t>Nguyễn Trung Anh</t>
  </si>
  <si>
    <t>Bùi Hoàng Duy</t>
  </si>
  <si>
    <t>Trần Đức Trung</t>
  </si>
  <si>
    <t>Trần Văn Chung</t>
  </si>
  <si>
    <t>Phạm Văn Tùng</t>
  </si>
  <si>
    <t>Lý Vĩnh Hưng</t>
  </si>
  <si>
    <t>Trịnh Ngọc Quang Anh</t>
  </si>
  <si>
    <t>Quang Duy</t>
  </si>
  <si>
    <t>Tiến Dũng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</si>
</sst>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8"/>
      <color rgb="FFFFFFFF"/>
      <name val="Aptos"/>
      <family val="2"/>
    </font>
    <font>
      <b/>
      <sz val="10"/>
      <color rgb="FF087E85"/>
      <name val="Aptos"/>
      <family val="2"/>
    </font>
    <font>
      <b/>
      <sz val="12"/>
      <color rgb="FF203D53"/>
      <name val="Aptos"/>
      <family val="2"/>
    </font>
    <font>
      <b/>
      <sz val="11"/>
      <color rgb="FF1B3654"/>
      <name val="Aptos"/>
      <family val="2"/>
    </font>
    <font>
      <b/>
      <sz val="11"/>
      <color rgb="FF203D53"/>
      <name val="Aptos"/>
      <family val="2"/>
    </font>
    <font>
      <b/>
      <sz val="10"/>
      <color rgb="FF203D53"/>
      <name val="Aptos"/>
      <family val="2"/>
    </font>
    <font>
      <b/>
      <sz val="11"/>
      <color rgb="FF5E7180"/>
      <name val="Aptos"/>
      <family val="2"/>
    </font>
    <font>
      <b/>
      <sz val="9"/>
      <color rgb="FF203D53"/>
      <name val="Aptos"/>
      <family val="2"/>
    </font>
    <font>
      <b/>
      <sz val="11"/>
      <color rgb="FFC75F87"/>
      <name val="Aptos"/>
      <family val="2"/>
    </font>
    <font>
      <sz val="9"/>
      <color rgb="FF22794E"/>
      <name val="Aptos"/>
      <family val="2"/>
    </font>
    <font>
      <b/>
      <sz val="10"/>
      <color rgb="FFC77712"/>
      <name val="Aptos"/>
      <family val="2"/>
    </font>
    <font>
      <b/>
      <sz val="17"/>
      <color rgb="FFFFFFFF"/>
      <name val="Aptos"/>
      <family val="2"/>
    </font>
    <font>
      <b/>
      <sz val="11"/>
      <color rgb="FF087E85"/>
      <name val="Aptos"/>
      <family val="2"/>
    </font>
    <font>
      <b/>
      <sz val="16"/>
      <color rgb="FF087E85"/>
      <name val="Aptos"/>
      <family val="2"/>
    </font>
    <font>
      <b/>
      <sz val="13"/>
      <color rgb="FFC77712"/>
      <name val="Aptos"/>
      <family val="2"/>
    </font>
    <font>
      <b/>
      <sz val="10"/>
      <color rgb="FFFFFFFF"/>
      <name val="Aptos"/>
      <family val="2"/>
    </font>
    <font>
      <sz val="10"/>
      <color rgb="FF5E7180"/>
      <name val="Aptos"/>
      <family val="2"/>
    </font>
    <font>
      <b/>
      <sz val="10"/>
      <color rgb="FFC75F87"/>
      <name val="Aptos"/>
      <family val="2"/>
    </font>
    <font>
      <b/>
      <sz val="11"/>
      <color rgb="FF2875B9"/>
      <name val="Aptos"/>
      <family val="2"/>
    </font>
    <font>
      <sz val="10"/>
      <color rgb="FF2875B9"/>
      <name val="Aptos"/>
      <family val="2"/>
    </font>
    <font>
      <sz val="10"/>
      <color rgb="FF067F68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1B3654"/>
      </patternFill>
    </fill>
    <fill>
      <patternFill patternType="solid">
        <fgColor rgb="FFE7F7F7"/>
      </patternFill>
    </fill>
    <fill>
      <patternFill patternType="solid">
        <fgColor rgb="FFF1F4F6"/>
      </patternFill>
    </fill>
    <fill>
      <patternFill patternType="solid">
        <fgColor rgb="FFF7F0E7"/>
      </patternFill>
    </fill>
    <fill>
      <patternFill patternType="solid">
        <fgColor rgb="FFAFD2F1"/>
      </patternFill>
    </fill>
    <fill>
      <patternFill patternType="solid">
        <fgColor rgb="FFFAFBFC"/>
      </patternFill>
    </fill>
    <fill>
      <patternFill patternType="solid">
        <fgColor rgb="FF83D58F"/>
      </patternFill>
    </fill>
    <fill>
      <patternFill patternType="solid">
        <fgColor rgb="FFEAF4FC"/>
      </patternFill>
    </fill>
    <fill>
      <patternFill patternType="solid">
        <fgColor rgb="FFFFFFFF"/>
      </patternFill>
    </fill>
    <fill>
      <patternFill patternType="solid">
        <fgColor rgb="FFFCE8F0"/>
      </patternFill>
    </fill>
    <fill>
      <patternFill patternType="solid">
        <fgColor rgb="FFF3FBFD"/>
      </patternFill>
    </fill>
    <fill>
      <patternFill patternType="solid">
        <fgColor rgb="FFFFF3DE"/>
      </patternFill>
    </fill>
    <fill>
      <patternFill patternType="solid">
        <fgColor rgb="FF203D53"/>
      </patternFill>
    </fill>
    <fill>
      <patternFill patternType="solid">
        <fgColor rgb="FFE8F5FF"/>
      </patternFill>
    </fill>
    <fill>
      <patternFill patternType="solid">
        <fgColor rgb="FFF0F7FC"/>
      </patternFill>
    </fill>
    <fill>
      <patternFill patternType="solid">
        <fgColor rgb="FFF7FAFC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A7B7C1"/>
      </left>
      <right style="thin">
        <color rgb="FFA7B7C1"/>
      </right>
      <top style="thin">
        <color rgb="FFA7B7C1"/>
      </top>
      <bottom style="thin">
        <color rgb="FFA7B7C1"/>
      </bottom>
      <diagonal/>
    </border>
    <border>
      <left/>
      <right/>
      <top style="thin">
        <color rgb="FFA7B7C1"/>
      </top>
      <bottom/>
      <diagonal/>
    </border>
    <border>
      <left style="thin">
        <color rgb="FFA7B7C1"/>
      </left>
      <right/>
      <top/>
      <bottom/>
      <diagonal/>
    </border>
    <border>
      <left/>
      <right style="thin">
        <color rgb="FFA7B7C1"/>
      </right>
      <top style="thin">
        <color rgb="FFA7B7C1"/>
      </top>
      <bottom/>
      <diagonal/>
    </border>
    <border>
      <left/>
      <right style="thin">
        <color rgb="FFA7B7C1"/>
      </right>
      <top/>
      <bottom/>
      <diagonal/>
    </border>
    <border>
      <left style="thin">
        <color rgb="FFA7B7C1"/>
      </left>
      <right/>
      <top/>
      <bottom style="thin">
        <color rgb="FFA7B7C1"/>
      </bottom>
      <diagonal/>
    </border>
    <border>
      <left/>
      <right/>
      <top/>
      <bottom style="thin">
        <color rgb="FFA7B7C1"/>
      </bottom>
      <diagonal/>
    </border>
    <border>
      <left/>
      <right style="thin">
        <color rgb="FFA7B7C1"/>
      </right>
      <top/>
      <bottom style="thin">
        <color rgb="FFA7B7C1"/>
      </bottom>
      <diagonal/>
    </border>
    <border>
      <left/>
      <right/>
      <top style="thin">
        <color rgb="FFA7B7C1"/>
      </top>
      <bottom style="thin">
        <color rgb="FFA7B7C1"/>
      </bottom>
      <diagonal/>
    </border>
    <border>
      <left/>
      <right style="thin">
        <color rgb="FFA7B7C1"/>
      </right>
      <top style="thin">
        <color rgb="FFA7B7C1"/>
      </top>
      <bottom style="thin">
        <color rgb="FFA7B7C1"/>
      </bottom>
      <diagonal/>
    </border>
    <border>
      <left style="thin">
        <color rgb="FF758D9B"/>
      </left>
      <right style="thin">
        <color rgb="FF758D9B"/>
      </right>
      <top style="thin">
        <color rgb="FF758D9B"/>
      </top>
      <bottom style="thin">
        <color rgb="FF758D9B"/>
      </bottom>
      <diagonal/>
    </border>
    <border>
      <left/>
      <right/>
      <top style="thin">
        <color rgb="FF758D9B"/>
      </top>
      <bottom/>
      <diagonal/>
    </border>
    <border>
      <left style="thin">
        <color rgb="FF758D9B"/>
      </left>
      <right/>
      <top/>
      <bottom/>
      <diagonal/>
    </border>
    <border>
      <left/>
      <right style="thin">
        <color rgb="FF758D9B"/>
      </right>
      <top style="thin">
        <color rgb="FF758D9B"/>
      </top>
      <bottom/>
      <diagonal/>
    </border>
    <border>
      <left/>
      <right style="thin">
        <color rgb="FF758D9B"/>
      </right>
      <top/>
      <bottom/>
      <diagonal/>
    </border>
    <border>
      <left style="thin">
        <color rgb="FF758D9B"/>
      </left>
      <right/>
      <top/>
      <bottom style="thin">
        <color rgb="FF758D9B"/>
      </bottom>
      <diagonal/>
    </border>
    <border>
      <left/>
      <right/>
      <top/>
      <bottom style="thin">
        <color rgb="FF758D9B"/>
      </bottom>
      <diagonal/>
    </border>
    <border>
      <left/>
      <right style="thin">
        <color rgb="FF758D9B"/>
      </right>
      <top/>
      <bottom style="thin">
        <color rgb="FF758D9B"/>
      </bottom>
      <diagonal/>
    </border>
    <border>
      <left style="thin">
        <color rgb="FFE8B6C8"/>
      </left>
      <right style="thin">
        <color rgb="FFE8B6C8"/>
      </right>
      <top style="thin">
        <color rgb="FFE8B6C8"/>
      </top>
      <bottom style="thin">
        <color rgb="FFE8B6C8"/>
      </bottom>
      <diagonal/>
    </border>
    <border>
      <left/>
      <right/>
      <top style="thin">
        <color rgb="FFE8B6C8"/>
      </top>
      <bottom style="thin">
        <color rgb="FFE8B6C8"/>
      </bottom>
      <diagonal/>
    </border>
    <border>
      <left/>
      <right style="thin">
        <color rgb="FFE8B6C8"/>
      </right>
      <top style="thin">
        <color rgb="FFE8B6C8"/>
      </top>
      <bottom style="thin">
        <color rgb="FFE8B6C8"/>
      </bottom>
      <diagonal/>
    </border>
    <border>
      <left style="thin">
        <color rgb="FFD0DFE9"/>
      </left>
      <right style="thin">
        <color rgb="FFD0DFE9"/>
      </right>
      <top style="thin">
        <color rgb="FFD0DFE9"/>
      </top>
      <bottom style="thin">
        <color rgb="FFD0DFE9"/>
      </bottom>
      <diagonal/>
    </border>
    <border>
      <left/>
      <right/>
      <top style="thin">
        <color rgb="FFD0DFE9"/>
      </top>
      <bottom/>
      <diagonal/>
    </border>
    <border>
      <left style="thin">
        <color rgb="FFD0DFE9"/>
      </left>
      <right/>
      <top/>
      <bottom/>
      <diagonal/>
    </border>
    <border>
      <left/>
      <right style="thin">
        <color rgb="FFD0DFE9"/>
      </right>
      <top style="thin">
        <color rgb="FFD0DFE9"/>
      </top>
      <bottom/>
      <diagonal/>
    </border>
    <border>
      <left/>
      <right style="thin">
        <color rgb="FFD0DFE9"/>
      </right>
      <top/>
      <bottom/>
      <diagonal/>
    </border>
    <border>
      <left style="thin">
        <color rgb="FFD0DFE9"/>
      </left>
      <right/>
      <top/>
      <bottom style="thin">
        <color rgb="FFD0DFE9"/>
      </bottom>
      <diagonal/>
    </border>
    <border>
      <left/>
      <right/>
      <top/>
      <bottom style="thin">
        <color rgb="FFD0DFE9"/>
      </bottom>
      <diagonal/>
    </border>
    <border>
      <left/>
      <right style="thin">
        <color rgb="FFD0DFE9"/>
      </right>
      <top/>
      <bottom style="thin">
        <color rgb="FFD0DFE9"/>
      </bottom>
      <diagonal/>
    </border>
    <border>
      <left/>
      <right/>
      <top/>
      <bottom style="hair">
        <color rgb="FFE5EBE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6" fillId="14" borderId="0" xfId="0" applyFont="1" applyFill="1" applyAlignment="1">
      <alignment horizontal="center" vertical="center" wrapText="1"/>
    </xf>
    <xf numFmtId="0" fontId="17" fillId="10" borderId="30" xfId="0" applyFont="1" applyFill="1" applyBorder="1" applyAlignment="1">
      <alignment horizontal="center" vertical="center" wrapText="1"/>
    </xf>
    <xf numFmtId="0" fontId="18" fillId="10" borderId="30" xfId="0" applyFont="1" applyFill="1" applyBorder="1" applyAlignment="1">
      <alignment horizontal="center" vertical="center" wrapText="1"/>
    </xf>
    <xf numFmtId="0" fontId="19" fillId="15" borderId="30" xfId="0" applyFont="1" applyFill="1" applyBorder="1" applyAlignment="1">
      <alignment horizontal="left" vertical="center" wrapText="1" indent="1"/>
    </xf>
    <xf numFmtId="0" fontId="20" fillId="16" borderId="30" xfId="0" applyFont="1" applyFill="1" applyBorder="1" applyAlignment="1">
      <alignment horizontal="left" vertical="center" wrapText="1" indent="1"/>
    </xf>
    <xf numFmtId="0" fontId="17" fillId="10" borderId="30" xfId="0" applyFont="1" applyFill="1" applyBorder="1" applyAlignment="1">
      <alignment horizontal="left" vertical="center" wrapText="1" indent="1"/>
    </xf>
    <xf numFmtId="0" fontId="21" fillId="10" borderId="30" xfId="0" applyFont="1" applyFill="1" applyBorder="1" applyAlignment="1">
      <alignment horizontal="center" vertical="center" wrapText="1"/>
    </xf>
    <xf numFmtId="0" fontId="17" fillId="17" borderId="30" xfId="0" applyFont="1" applyFill="1" applyBorder="1" applyAlignment="1">
      <alignment horizontal="center" vertical="center" wrapText="1"/>
    </xf>
    <xf numFmtId="0" fontId="18" fillId="17" borderId="30" xfId="0" applyFont="1" applyFill="1" applyBorder="1" applyAlignment="1">
      <alignment horizontal="center" vertical="center" wrapText="1"/>
    </xf>
    <xf numFmtId="0" fontId="17" fillId="17" borderId="30" xfId="0" applyFont="1" applyFill="1" applyBorder="1" applyAlignment="1">
      <alignment horizontal="left" vertical="center" wrapText="1" indent="1"/>
    </xf>
    <xf numFmtId="0" fontId="21" fillId="17" borderId="30" xfId="0" applyFont="1" applyFill="1" applyBorder="1" applyAlignment="1">
      <alignment horizontal="center" vertical="center" wrapText="1"/>
    </xf>
    <xf numFmtId="0" fontId="9" fillId="11" borderId="19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10" fillId="12" borderId="22" xfId="0" applyFont="1" applyFill="1" applyBorder="1" applyAlignment="1">
      <alignment horizontal="center" vertical="center" wrapText="1" shrinkToFit="1"/>
    </xf>
    <xf numFmtId="0" fontId="0" fillId="0" borderId="23" xfId="0" applyBorder="1"/>
    <xf numFmtId="0" fontId="0" fillId="0" borderId="25" xfId="0" applyBorder="1"/>
    <xf numFmtId="0" fontId="0" fillId="0" borderId="24" xfId="0" applyBorder="1"/>
    <xf numFmtId="0" fontId="0" fillId="0" borderId="0" xfId="0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8" fillId="9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7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0" fillId="18" borderId="22" xfId="0" applyFont="1" applyFill="1" applyBorder="1" applyAlignment="1">
      <alignment horizontal="center" vertical="center" wrapText="1" shrinkToFit="1"/>
    </xf>
    <xf numFmtId="0" fontId="0" fillId="18" borderId="23" xfId="0" applyFill="1" applyBorder="1"/>
    <xf numFmtId="0" fontId="0" fillId="18" borderId="25" xfId="0" applyFill="1" applyBorder="1"/>
    <xf numFmtId="0" fontId="0" fillId="18" borderId="24" xfId="0" applyFill="1" applyBorder="1"/>
    <xf numFmtId="0" fontId="0" fillId="18" borderId="0" xfId="0" applyFill="1"/>
    <xf numFmtId="0" fontId="0" fillId="18" borderId="26" xfId="0" applyFill="1" applyBorder="1"/>
    <xf numFmtId="0" fontId="0" fillId="18" borderId="27" xfId="0" applyFill="1" applyBorder="1"/>
    <xf numFmtId="0" fontId="0" fillId="18" borderId="28" xfId="0" applyFill="1" applyBorder="1"/>
    <xf numFmtId="0" fontId="0" fillId="18" borderId="29" xfId="0" applyFill="1" applyBorder="1"/>
  </cellXfs>
  <cellStyles count="1">
    <cellStyle name="Normal" xfId="0" builtinId="0"/>
  </cellStyles>
  <dxfs count="45"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  <dxf>
      <fill>
        <patternFill patternType="solid">
          <fgColor rgb="FFE1F4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R66"/>
  <sheetViews>
    <sheetView showGridLines="0" tabSelected="1" zoomScale="85" zoomScaleNormal="85" workbookViewId="0">
      <pane xSplit="25" ySplit="16" topLeftCell="Z35" activePane="bottomRight" state="frozen"/>
      <selection pane="topRight"/>
      <selection pane="bottomLeft"/>
      <selection pane="bottomRight" activeCell="CT54" sqref="CT54"/>
    </sheetView>
  </sheetViews>
  <sheetFormatPr defaultRowHeight="15" x14ac:dyDescent="0.25"/>
  <cols>
    <col min="1" max="2" width="3.42578125" customWidth="1"/>
    <col min="3" max="10" width="1.5703125" hidden="1" customWidth="1"/>
    <col min="11" max="96" width="3.42578125" customWidth="1"/>
  </cols>
  <sheetData>
    <row r="1" spans="1:96" ht="20.100000000000001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6"/>
    </row>
    <row r="2" spans="1:96" ht="20.100000000000001" customHeight="1" x14ac:dyDescent="0.25">
      <c r="A2" s="27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28"/>
    </row>
    <row r="3" spans="1:96" ht="20.100000000000001" customHeight="1" x14ac:dyDescent="0.25">
      <c r="A3" s="2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1"/>
    </row>
    <row r="4" spans="1:96" ht="17.25" customHeight="1" x14ac:dyDescent="0.25">
      <c r="A4" s="45" t="s">
        <v>1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7"/>
    </row>
    <row r="5" spans="1:96" ht="17.25" customHeight="1" x14ac:dyDescent="0.25">
      <c r="A5" s="49" t="s">
        <v>2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6"/>
    </row>
    <row r="6" spans="1:96" ht="17.25" hidden="1" customHeight="1" x14ac:dyDescent="0.25">
      <c r="A6" s="27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28"/>
    </row>
    <row r="7" spans="1:96" ht="17.25" customHeight="1" x14ac:dyDescent="0.25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1"/>
    </row>
    <row r="8" spans="1:96" ht="17.25" customHeight="1" x14ac:dyDescent="0.25">
      <c r="A8" s="3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6"/>
      <c r="S8" s="32" t="s">
        <v>4</v>
      </c>
      <c r="T8" s="25"/>
      <c r="U8" s="25"/>
      <c r="V8" s="25"/>
      <c r="W8" s="25"/>
      <c r="X8" s="25"/>
      <c r="Y8" s="26"/>
      <c r="Z8" s="35" t="s">
        <v>3</v>
      </c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6"/>
      <c r="CK8" s="52" t="s">
        <v>5</v>
      </c>
      <c r="CL8" s="25"/>
      <c r="CM8" s="25"/>
      <c r="CN8" s="25"/>
      <c r="CO8" s="25"/>
      <c r="CP8" s="25"/>
      <c r="CQ8" s="25"/>
      <c r="CR8" s="26"/>
    </row>
    <row r="9" spans="1:96" ht="3" customHeight="1" x14ac:dyDescent="0.25">
      <c r="A9" s="27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8"/>
      <c r="S9" s="27"/>
      <c r="T9" s="19"/>
      <c r="U9" s="19"/>
      <c r="V9" s="19"/>
      <c r="W9" s="19"/>
      <c r="X9" s="19"/>
      <c r="Y9" s="28"/>
      <c r="Z9" s="27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28"/>
      <c r="CK9" s="27"/>
      <c r="CL9" s="19"/>
      <c r="CM9" s="19"/>
      <c r="CN9" s="19"/>
      <c r="CO9" s="19"/>
      <c r="CP9" s="19"/>
      <c r="CQ9" s="19"/>
      <c r="CR9" s="28"/>
    </row>
    <row r="10" spans="1:96" ht="3" customHeight="1" x14ac:dyDescent="0.25">
      <c r="A10" s="27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28"/>
      <c r="S10" s="27"/>
      <c r="T10" s="19"/>
      <c r="U10" s="19"/>
      <c r="V10" s="19"/>
      <c r="W10" s="19"/>
      <c r="X10" s="19"/>
      <c r="Y10" s="28"/>
      <c r="Z10" s="27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28"/>
      <c r="CK10" s="27"/>
      <c r="CL10" s="19"/>
      <c r="CM10" s="19"/>
      <c r="CN10" s="19"/>
      <c r="CO10" s="19"/>
      <c r="CP10" s="19"/>
      <c r="CQ10" s="19"/>
      <c r="CR10" s="28"/>
    </row>
    <row r="11" spans="1:96" ht="3" customHeight="1" x14ac:dyDescent="0.25">
      <c r="A11" s="27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28"/>
      <c r="S11" s="27"/>
      <c r="T11" s="19"/>
      <c r="U11" s="19"/>
      <c r="V11" s="19"/>
      <c r="W11" s="19"/>
      <c r="X11" s="19"/>
      <c r="Y11" s="28"/>
      <c r="Z11" s="27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28"/>
      <c r="CK11" s="27"/>
      <c r="CL11" s="19"/>
      <c r="CM11" s="19"/>
      <c r="CN11" s="19"/>
      <c r="CO11" s="19"/>
      <c r="CP11" s="19"/>
      <c r="CQ11" s="19"/>
      <c r="CR11" s="28"/>
    </row>
    <row r="12" spans="1:96" ht="17.25" customHeight="1" x14ac:dyDescent="0.25">
      <c r="A12" s="27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28"/>
      <c r="S12" s="27"/>
      <c r="T12" s="19"/>
      <c r="U12" s="19"/>
      <c r="V12" s="19"/>
      <c r="W12" s="19"/>
      <c r="X12" s="19"/>
      <c r="Y12" s="28"/>
      <c r="Z12" s="27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28"/>
      <c r="CK12" s="27"/>
      <c r="CL12" s="19"/>
      <c r="CM12" s="19"/>
      <c r="CN12" s="19"/>
      <c r="CO12" s="19"/>
      <c r="CP12" s="19"/>
      <c r="CQ12" s="19"/>
      <c r="CR12" s="28"/>
    </row>
    <row r="13" spans="1:96" ht="2.25" customHeight="1" x14ac:dyDescent="0.25">
      <c r="A13" s="27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28"/>
      <c r="S13" s="27"/>
      <c r="T13" s="19"/>
      <c r="U13" s="19"/>
      <c r="V13" s="19"/>
      <c r="W13" s="19"/>
      <c r="X13" s="19"/>
      <c r="Y13" s="28"/>
      <c r="Z13" s="29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1"/>
      <c r="CK13" s="27"/>
      <c r="CL13" s="19"/>
      <c r="CM13" s="19"/>
      <c r="CN13" s="19"/>
      <c r="CO13" s="19"/>
      <c r="CP13" s="19"/>
      <c r="CQ13" s="19"/>
      <c r="CR13" s="28"/>
    </row>
    <row r="14" spans="1:96" ht="17.25" hidden="1" customHeight="1" x14ac:dyDescent="0.25">
      <c r="A14" s="27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28"/>
      <c r="S14" s="27"/>
      <c r="T14" s="19"/>
      <c r="U14" s="19"/>
      <c r="V14" s="19"/>
      <c r="W14" s="19"/>
      <c r="X14" s="19"/>
      <c r="Y14" s="28"/>
      <c r="Z14" s="33" t="s">
        <v>6</v>
      </c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6"/>
      <c r="CK14" s="27"/>
      <c r="CL14" s="19"/>
      <c r="CM14" s="19"/>
      <c r="CN14" s="19"/>
      <c r="CO14" s="19"/>
      <c r="CP14" s="19"/>
      <c r="CQ14" s="19"/>
      <c r="CR14" s="28"/>
    </row>
    <row r="15" spans="1:96" ht="17.25" hidden="1" customHeight="1" x14ac:dyDescent="0.25">
      <c r="A15" s="27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28"/>
      <c r="S15" s="27"/>
      <c r="T15" s="19"/>
      <c r="U15" s="19"/>
      <c r="V15" s="19"/>
      <c r="W15" s="19"/>
      <c r="X15" s="19"/>
      <c r="Y15" s="28"/>
      <c r="Z15" s="27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28"/>
      <c r="CK15" s="27"/>
      <c r="CL15" s="19"/>
      <c r="CM15" s="19"/>
      <c r="CN15" s="19"/>
      <c r="CO15" s="19"/>
      <c r="CP15" s="19"/>
      <c r="CQ15" s="19"/>
      <c r="CR15" s="28"/>
    </row>
    <row r="16" spans="1:96" ht="17.25" customHeight="1" x14ac:dyDescent="0.25">
      <c r="A16" s="27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28"/>
      <c r="S16" s="27"/>
      <c r="T16" s="19"/>
      <c r="U16" s="19"/>
      <c r="V16" s="19"/>
      <c r="W16" s="19"/>
      <c r="X16" s="19"/>
      <c r="Y16" s="28"/>
      <c r="Z16" s="29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1"/>
      <c r="CK16" s="27"/>
      <c r="CL16" s="19"/>
      <c r="CM16" s="19"/>
      <c r="CN16" s="19"/>
      <c r="CO16" s="19"/>
      <c r="CP16" s="19"/>
      <c r="CQ16" s="19"/>
      <c r="CR16" s="28"/>
    </row>
    <row r="17" spans="1:96" ht="17.25" customHeight="1" x14ac:dyDescent="0.25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1"/>
      <c r="S17" s="29"/>
      <c r="T17" s="30"/>
      <c r="U17" s="30"/>
      <c r="V17" s="30"/>
      <c r="W17" s="30"/>
      <c r="X17" s="30"/>
      <c r="Y17" s="31"/>
      <c r="AD17" s="12" t="s">
        <v>7</v>
      </c>
      <c r="AE17" s="13"/>
      <c r="AF17" s="13"/>
      <c r="AG17" s="14"/>
      <c r="AI17" s="12" t="s">
        <v>8</v>
      </c>
      <c r="AJ17" s="13"/>
      <c r="AK17" s="13"/>
      <c r="AL17" s="14"/>
      <c r="AP17" s="12" t="s">
        <v>9</v>
      </c>
      <c r="AQ17" s="13"/>
      <c r="AR17" s="13"/>
      <c r="AS17" s="14"/>
      <c r="AU17" s="12" t="s">
        <v>10</v>
      </c>
      <c r="AV17" s="13"/>
      <c r="AW17" s="13"/>
      <c r="AX17" s="14"/>
      <c r="BE17" s="12" t="s">
        <v>11</v>
      </c>
      <c r="BF17" s="13"/>
      <c r="BG17" s="13"/>
      <c r="BH17" s="14"/>
      <c r="BJ17" s="12" t="s">
        <v>12</v>
      </c>
      <c r="BK17" s="13"/>
      <c r="BL17" s="13"/>
      <c r="BM17" s="14"/>
      <c r="BT17" s="12" t="s">
        <v>13</v>
      </c>
      <c r="BU17" s="13"/>
      <c r="BV17" s="13"/>
      <c r="BW17" s="14"/>
      <c r="BY17" s="12" t="s">
        <v>14</v>
      </c>
      <c r="BZ17" s="13"/>
      <c r="CA17" s="13"/>
      <c r="CB17" s="14"/>
      <c r="CK17" s="27"/>
      <c r="CL17" s="19"/>
      <c r="CM17" s="19"/>
      <c r="CN17" s="19"/>
      <c r="CO17" s="19"/>
      <c r="CP17" s="19"/>
      <c r="CQ17" s="19"/>
      <c r="CR17" s="28"/>
    </row>
    <row r="18" spans="1:96" ht="17.25" customHeight="1" x14ac:dyDescent="0.25">
      <c r="A18" s="48" t="s">
        <v>15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6"/>
      <c r="M18" s="33" t="s">
        <v>16</v>
      </c>
      <c r="N18" s="25"/>
      <c r="O18" s="25"/>
      <c r="P18" s="25"/>
      <c r="Q18" s="25"/>
      <c r="R18" s="26"/>
      <c r="AD18" s="15" t="str">
        <f>IF('DANH SÁCH KHÁCH'!$C$11="","",'DANH SÁCH KHÁCH'!$C$11)</f>
        <v>Nguyễn Thị Thanh Nhàn</v>
      </c>
      <c r="AE18" s="16"/>
      <c r="AF18" s="16"/>
      <c r="AG18" s="17"/>
      <c r="AI18" s="15" t="str">
        <f>IF('DANH SÁCH KHÁCH'!$C$12="","",'DANH SÁCH KHÁCH'!$C$12)</f>
        <v>Trương Thị Huyền Trang</v>
      </c>
      <c r="AJ18" s="16"/>
      <c r="AK18" s="16"/>
      <c r="AL18" s="17"/>
      <c r="AP18" s="15" t="str">
        <f>IF('DANH SÁCH KHÁCH'!$C$13="","",'DANH SÁCH KHÁCH'!$C$13)</f>
        <v>Phan Thị Hồng Hạnh</v>
      </c>
      <c r="AQ18" s="16"/>
      <c r="AR18" s="16"/>
      <c r="AS18" s="17"/>
      <c r="AU18" s="15" t="str">
        <f>IF('DANH SÁCH KHÁCH'!$C$14="","",'DANH SÁCH KHÁCH'!$C$14)</f>
        <v>Trịnh Ngọc Quang Anh</v>
      </c>
      <c r="AV18" s="16"/>
      <c r="AW18" s="16"/>
      <c r="AX18" s="17"/>
      <c r="BE18" s="15" t="str">
        <f>IF('DANH SÁCH KHÁCH'!$C$15="","",'DANH SÁCH KHÁCH'!$C$15)</f>
        <v>Hoàng Thị Thu Hiền</v>
      </c>
      <c r="BF18" s="16"/>
      <c r="BG18" s="16"/>
      <c r="BH18" s="17"/>
      <c r="BJ18" s="15" t="str">
        <f>IF('DANH SÁCH KHÁCH'!$C$16="","",'DANH SÁCH KHÁCH'!$C$16)</f>
        <v>Nguyễn Ngọc Huyền</v>
      </c>
      <c r="BK18" s="16"/>
      <c r="BL18" s="16"/>
      <c r="BM18" s="17"/>
      <c r="BT18" s="15" t="str">
        <f>IF('DANH SÁCH KHÁCH'!$C$17="","",'DANH SÁCH KHÁCH'!$C$17)</f>
        <v>Nguyễn Lan Anh</v>
      </c>
      <c r="BU18" s="16"/>
      <c r="BV18" s="16"/>
      <c r="BW18" s="17"/>
      <c r="BY18" s="15" t="str">
        <f>IF('DANH SÁCH KHÁCH'!$C$18="","",'DANH SÁCH KHÁCH'!$C$18)</f>
        <v>Nguyễn Thị Vân</v>
      </c>
      <c r="BZ18" s="16"/>
      <c r="CA18" s="16"/>
      <c r="CB18" s="17"/>
      <c r="CK18" s="27"/>
      <c r="CL18" s="19"/>
      <c r="CM18" s="19"/>
      <c r="CN18" s="19"/>
      <c r="CO18" s="19"/>
      <c r="CP18" s="19"/>
      <c r="CQ18" s="19"/>
      <c r="CR18" s="28"/>
    </row>
    <row r="19" spans="1:96" ht="17.25" customHeight="1" x14ac:dyDescent="0.25">
      <c r="A19" s="27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28"/>
      <c r="M19" s="27"/>
      <c r="N19" s="19"/>
      <c r="O19" s="19"/>
      <c r="P19" s="19"/>
      <c r="Q19" s="19"/>
      <c r="R19" s="28"/>
      <c r="AD19" s="18"/>
      <c r="AE19" s="19"/>
      <c r="AF19" s="19"/>
      <c r="AG19" s="20"/>
      <c r="AI19" s="18"/>
      <c r="AJ19" s="19"/>
      <c r="AK19" s="19"/>
      <c r="AL19" s="20"/>
      <c r="AP19" s="18"/>
      <c r="AQ19" s="19"/>
      <c r="AR19" s="19"/>
      <c r="AS19" s="20"/>
      <c r="AU19" s="18"/>
      <c r="AV19" s="19"/>
      <c r="AW19" s="19"/>
      <c r="AX19" s="20"/>
      <c r="BE19" s="18"/>
      <c r="BF19" s="19"/>
      <c r="BG19" s="19"/>
      <c r="BH19" s="20"/>
      <c r="BJ19" s="18"/>
      <c r="BK19" s="19"/>
      <c r="BL19" s="19"/>
      <c r="BM19" s="20"/>
      <c r="BT19" s="18"/>
      <c r="BU19" s="19"/>
      <c r="BV19" s="19"/>
      <c r="BW19" s="20"/>
      <c r="BY19" s="18"/>
      <c r="BZ19" s="19"/>
      <c r="CA19" s="19"/>
      <c r="CB19" s="20"/>
      <c r="CK19" s="27"/>
      <c r="CL19" s="19"/>
      <c r="CM19" s="19"/>
      <c r="CN19" s="19"/>
      <c r="CO19" s="19"/>
      <c r="CP19" s="19"/>
      <c r="CQ19" s="19"/>
      <c r="CR19" s="28"/>
    </row>
    <row r="20" spans="1:96" ht="17.25" customHeight="1" x14ac:dyDescent="0.25">
      <c r="A20" s="27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28"/>
      <c r="M20" s="27"/>
      <c r="N20" s="19"/>
      <c r="O20" s="19"/>
      <c r="P20" s="19"/>
      <c r="Q20" s="19"/>
      <c r="R20" s="28"/>
      <c r="AD20" s="21"/>
      <c r="AE20" s="22"/>
      <c r="AF20" s="22"/>
      <c r="AG20" s="23"/>
      <c r="AI20" s="21"/>
      <c r="AJ20" s="22"/>
      <c r="AK20" s="22"/>
      <c r="AL20" s="23"/>
      <c r="AP20" s="21"/>
      <c r="AQ20" s="22"/>
      <c r="AR20" s="22"/>
      <c r="AS20" s="23"/>
      <c r="AU20" s="21"/>
      <c r="AV20" s="22"/>
      <c r="AW20" s="22"/>
      <c r="AX20" s="23"/>
      <c r="BE20" s="21"/>
      <c r="BF20" s="22"/>
      <c r="BG20" s="22"/>
      <c r="BH20" s="23"/>
      <c r="BJ20" s="21"/>
      <c r="BK20" s="22"/>
      <c r="BL20" s="22"/>
      <c r="BM20" s="23"/>
      <c r="BT20" s="21"/>
      <c r="BU20" s="22"/>
      <c r="BV20" s="22"/>
      <c r="BW20" s="23"/>
      <c r="BY20" s="21"/>
      <c r="BZ20" s="22"/>
      <c r="CA20" s="22"/>
      <c r="CB20" s="23"/>
      <c r="CK20" s="27"/>
      <c r="CL20" s="19"/>
      <c r="CM20" s="19"/>
      <c r="CN20" s="19"/>
      <c r="CO20" s="19"/>
      <c r="CP20" s="19"/>
      <c r="CQ20" s="19"/>
      <c r="CR20" s="28"/>
    </row>
    <row r="21" spans="1:96" ht="17.25" customHeight="1" x14ac:dyDescent="0.25">
      <c r="A21" s="27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28"/>
      <c r="M21" s="27"/>
      <c r="N21" s="19"/>
      <c r="O21" s="19"/>
      <c r="P21" s="19"/>
      <c r="Q21" s="19"/>
      <c r="R21" s="28"/>
      <c r="AD21" s="36" t="s">
        <v>17</v>
      </c>
      <c r="AE21" s="37"/>
      <c r="AF21" s="37"/>
      <c r="AG21" s="37"/>
      <c r="AH21" s="37"/>
      <c r="AI21" s="37"/>
      <c r="AJ21" s="37"/>
      <c r="AK21" s="37"/>
      <c r="AL21" s="38"/>
      <c r="AP21" s="36" t="s">
        <v>18</v>
      </c>
      <c r="AQ21" s="37"/>
      <c r="AR21" s="37"/>
      <c r="AS21" s="37"/>
      <c r="AT21" s="37"/>
      <c r="AU21" s="37"/>
      <c r="AV21" s="37"/>
      <c r="AW21" s="37"/>
      <c r="AX21" s="38"/>
      <c r="BE21" s="36" t="s">
        <v>19</v>
      </c>
      <c r="BF21" s="37"/>
      <c r="BG21" s="37"/>
      <c r="BH21" s="37"/>
      <c r="BI21" s="37"/>
      <c r="BJ21" s="37"/>
      <c r="BK21" s="37"/>
      <c r="BL21" s="37"/>
      <c r="BM21" s="38"/>
      <c r="BT21" s="36" t="s">
        <v>20</v>
      </c>
      <c r="BU21" s="37"/>
      <c r="BV21" s="37"/>
      <c r="BW21" s="37"/>
      <c r="BX21" s="37"/>
      <c r="BY21" s="37"/>
      <c r="BZ21" s="37"/>
      <c r="CA21" s="37"/>
      <c r="CB21" s="38"/>
      <c r="CK21" s="27"/>
      <c r="CL21" s="19"/>
      <c r="CM21" s="19"/>
      <c r="CN21" s="19"/>
      <c r="CO21" s="19"/>
      <c r="CP21" s="19"/>
      <c r="CQ21" s="19"/>
      <c r="CR21" s="28"/>
    </row>
    <row r="22" spans="1:96" ht="17.25" customHeight="1" x14ac:dyDescent="0.25">
      <c r="A22" s="27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28"/>
      <c r="M22" s="27"/>
      <c r="N22" s="19"/>
      <c r="O22" s="19"/>
      <c r="P22" s="19"/>
      <c r="Q22" s="19"/>
      <c r="R22" s="28"/>
      <c r="AD22" s="39"/>
      <c r="AE22" s="19"/>
      <c r="AF22" s="19"/>
      <c r="AG22" s="19"/>
      <c r="AH22" s="19"/>
      <c r="AI22" s="19"/>
      <c r="AJ22" s="19"/>
      <c r="AK22" s="19"/>
      <c r="AL22" s="40"/>
      <c r="AP22" s="39"/>
      <c r="AQ22" s="19"/>
      <c r="AR22" s="19"/>
      <c r="AS22" s="19"/>
      <c r="AT22" s="19"/>
      <c r="AU22" s="19"/>
      <c r="AV22" s="19"/>
      <c r="AW22" s="19"/>
      <c r="AX22" s="40"/>
      <c r="BE22" s="39"/>
      <c r="BF22" s="19"/>
      <c r="BG22" s="19"/>
      <c r="BH22" s="19"/>
      <c r="BI22" s="19"/>
      <c r="BJ22" s="19"/>
      <c r="BK22" s="19"/>
      <c r="BL22" s="19"/>
      <c r="BM22" s="40"/>
      <c r="BT22" s="39"/>
      <c r="BU22" s="19"/>
      <c r="BV22" s="19"/>
      <c r="BW22" s="19"/>
      <c r="BX22" s="19"/>
      <c r="BY22" s="19"/>
      <c r="BZ22" s="19"/>
      <c r="CA22" s="19"/>
      <c r="CB22" s="40"/>
      <c r="CK22" s="27"/>
      <c r="CL22" s="19"/>
      <c r="CM22" s="19"/>
      <c r="CN22" s="19"/>
      <c r="CO22" s="19"/>
      <c r="CP22" s="19"/>
      <c r="CQ22" s="19"/>
      <c r="CR22" s="28"/>
    </row>
    <row r="23" spans="1:96" ht="17.25" customHeight="1" x14ac:dyDescent="0.25">
      <c r="A23" s="27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28"/>
      <c r="M23" s="27"/>
      <c r="N23" s="19"/>
      <c r="O23" s="19"/>
      <c r="P23" s="19"/>
      <c r="Q23" s="19"/>
      <c r="R23" s="28"/>
      <c r="AD23" s="41"/>
      <c r="AE23" s="42"/>
      <c r="AF23" s="42"/>
      <c r="AG23" s="42"/>
      <c r="AH23" s="42"/>
      <c r="AI23" s="42"/>
      <c r="AJ23" s="42"/>
      <c r="AK23" s="42"/>
      <c r="AL23" s="43"/>
      <c r="AP23" s="41"/>
      <c r="AQ23" s="42"/>
      <c r="AR23" s="42"/>
      <c r="AS23" s="42"/>
      <c r="AT23" s="42"/>
      <c r="AU23" s="42"/>
      <c r="AV23" s="42"/>
      <c r="AW23" s="42"/>
      <c r="AX23" s="43"/>
      <c r="BE23" s="41"/>
      <c r="BF23" s="42"/>
      <c r="BG23" s="42"/>
      <c r="BH23" s="42"/>
      <c r="BI23" s="42"/>
      <c r="BJ23" s="42"/>
      <c r="BK23" s="42"/>
      <c r="BL23" s="42"/>
      <c r="BM23" s="43"/>
      <c r="BT23" s="41"/>
      <c r="BU23" s="42"/>
      <c r="BV23" s="42"/>
      <c r="BW23" s="42"/>
      <c r="BX23" s="42"/>
      <c r="BY23" s="42"/>
      <c r="BZ23" s="42"/>
      <c r="CA23" s="42"/>
      <c r="CB23" s="43"/>
      <c r="CK23" s="27"/>
      <c r="CL23" s="19"/>
      <c r="CM23" s="19"/>
      <c r="CN23" s="19"/>
      <c r="CO23" s="19"/>
      <c r="CP23" s="19"/>
      <c r="CQ23" s="19"/>
      <c r="CR23" s="28"/>
    </row>
    <row r="24" spans="1:96" ht="17.25" customHeight="1" x14ac:dyDescent="0.25">
      <c r="A24" s="27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28"/>
      <c r="M24" s="27"/>
      <c r="N24" s="19"/>
      <c r="O24" s="19"/>
      <c r="P24" s="19"/>
      <c r="Q24" s="19"/>
      <c r="R24" s="28"/>
      <c r="AD24" s="12" t="s">
        <v>21</v>
      </c>
      <c r="AE24" s="13"/>
      <c r="AF24" s="13"/>
      <c r="AG24" s="14"/>
      <c r="AI24" s="12" t="s">
        <v>22</v>
      </c>
      <c r="AJ24" s="13"/>
      <c r="AK24" s="13"/>
      <c r="AL24" s="14"/>
      <c r="AP24" s="12" t="s">
        <v>23</v>
      </c>
      <c r="AQ24" s="13"/>
      <c r="AR24" s="13"/>
      <c r="AS24" s="14"/>
      <c r="AU24" s="12" t="s">
        <v>24</v>
      </c>
      <c r="AV24" s="13"/>
      <c r="AW24" s="13"/>
      <c r="AX24" s="14"/>
      <c r="BE24" s="12" t="s">
        <v>25</v>
      </c>
      <c r="BF24" s="13"/>
      <c r="BG24" s="13"/>
      <c r="BH24" s="14"/>
      <c r="BJ24" s="12" t="s">
        <v>26</v>
      </c>
      <c r="BK24" s="13"/>
      <c r="BL24" s="13"/>
      <c r="BM24" s="14"/>
      <c r="BT24" s="12" t="s">
        <v>27</v>
      </c>
      <c r="BU24" s="13"/>
      <c r="BV24" s="13"/>
      <c r="BW24" s="14"/>
      <c r="BY24" s="12" t="s">
        <v>28</v>
      </c>
      <c r="BZ24" s="13"/>
      <c r="CA24" s="13"/>
      <c r="CB24" s="14"/>
      <c r="CK24" s="27"/>
      <c r="CL24" s="19"/>
      <c r="CM24" s="19"/>
      <c r="CN24" s="19"/>
      <c r="CO24" s="19"/>
      <c r="CP24" s="19"/>
      <c r="CQ24" s="19"/>
      <c r="CR24" s="28"/>
    </row>
    <row r="25" spans="1:96" ht="17.25" customHeight="1" x14ac:dyDescent="0.25">
      <c r="A25" s="2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28"/>
      <c r="M25" s="27"/>
      <c r="N25" s="19"/>
      <c r="O25" s="19"/>
      <c r="P25" s="19"/>
      <c r="Q25" s="19"/>
      <c r="R25" s="28"/>
      <c r="AD25" s="15" t="str">
        <f>IF('DANH SÁCH KHÁCH'!$C$26="","",'DANH SÁCH KHÁCH'!$C$26)</f>
        <v>Nguyễn Trung Anh</v>
      </c>
      <c r="AE25" s="16"/>
      <c r="AF25" s="16"/>
      <c r="AG25" s="17"/>
      <c r="AI25" s="15" t="str">
        <f>IF('DANH SÁCH KHÁCH'!$C$25="","",'DANH SÁCH KHÁCH'!$C$25)</f>
        <v>Hồ Sỹ Ngọc</v>
      </c>
      <c r="AJ25" s="16"/>
      <c r="AK25" s="16"/>
      <c r="AL25" s="17"/>
      <c r="AP25" s="15" t="str">
        <f>IF('DANH SÁCH KHÁCH'!$C$24="","",'DANH SÁCH KHÁCH'!$C$24)</f>
        <v>Nguyễn Đình Phán</v>
      </c>
      <c r="AQ25" s="16"/>
      <c r="AR25" s="16"/>
      <c r="AS25" s="17"/>
      <c r="AU25" s="15" t="str">
        <f>IF('DANH SÁCH KHÁCH'!$C$23="","",'DANH SÁCH KHÁCH'!$C$23)</f>
        <v>Ngô Đình Mạnh</v>
      </c>
      <c r="AV25" s="16"/>
      <c r="AW25" s="16"/>
      <c r="AX25" s="17"/>
      <c r="BE25" s="15" t="str">
        <f>IF('DANH SÁCH KHÁCH'!$C$22="","",'DANH SÁCH KHÁCH'!$C$22)</f>
        <v>Trần Thái Hạnh</v>
      </c>
      <c r="BF25" s="16"/>
      <c r="BG25" s="16"/>
      <c r="BH25" s="17"/>
      <c r="BJ25" s="15" t="str">
        <f>IF('DANH SÁCH KHÁCH'!$C$21="","",'DANH SÁCH KHÁCH'!$C$21)</f>
        <v>Đoàn Mạnh Văn</v>
      </c>
      <c r="BK25" s="16"/>
      <c r="BL25" s="16"/>
      <c r="BM25" s="17"/>
      <c r="BT25" s="15" t="str">
        <f>IF('DANH SÁCH KHÁCH'!$C$20="","",'DANH SÁCH KHÁCH'!$C$20)</f>
        <v>Phan Tiến Dũng</v>
      </c>
      <c r="BU25" s="16"/>
      <c r="BV25" s="16"/>
      <c r="BW25" s="17"/>
      <c r="BY25" s="15" t="str">
        <f>IF('DANH SÁCH KHÁCH'!$C$19="","",'DANH SÁCH KHÁCH'!$C$19)</f>
        <v>Nguyễn Ngọc Anh</v>
      </c>
      <c r="BZ25" s="16"/>
      <c r="CA25" s="16"/>
      <c r="CB25" s="17"/>
      <c r="CK25" s="27"/>
      <c r="CL25" s="19"/>
      <c r="CM25" s="19"/>
      <c r="CN25" s="19"/>
      <c r="CO25" s="19"/>
      <c r="CP25" s="19"/>
      <c r="CQ25" s="19"/>
      <c r="CR25" s="28"/>
    </row>
    <row r="26" spans="1:96" ht="17.25" customHeight="1" x14ac:dyDescent="0.25">
      <c r="A26" s="27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28"/>
      <c r="M26" s="27"/>
      <c r="N26" s="19"/>
      <c r="O26" s="19"/>
      <c r="P26" s="19"/>
      <c r="Q26" s="19"/>
      <c r="R26" s="28"/>
      <c r="AD26" s="18"/>
      <c r="AE26" s="19"/>
      <c r="AF26" s="19"/>
      <c r="AG26" s="20"/>
      <c r="AI26" s="18"/>
      <c r="AJ26" s="19"/>
      <c r="AK26" s="19"/>
      <c r="AL26" s="20"/>
      <c r="AP26" s="18"/>
      <c r="AQ26" s="19"/>
      <c r="AR26" s="19"/>
      <c r="AS26" s="20"/>
      <c r="AU26" s="18"/>
      <c r="AV26" s="19"/>
      <c r="AW26" s="19"/>
      <c r="AX26" s="20"/>
      <c r="BE26" s="18"/>
      <c r="BF26" s="19"/>
      <c r="BG26" s="19"/>
      <c r="BH26" s="20"/>
      <c r="BJ26" s="18"/>
      <c r="BK26" s="19"/>
      <c r="BL26" s="19"/>
      <c r="BM26" s="20"/>
      <c r="BT26" s="18"/>
      <c r="BU26" s="19"/>
      <c r="BV26" s="19"/>
      <c r="BW26" s="20"/>
      <c r="BY26" s="18"/>
      <c r="BZ26" s="19"/>
      <c r="CA26" s="19"/>
      <c r="CB26" s="20"/>
      <c r="CK26" s="27"/>
      <c r="CL26" s="19"/>
      <c r="CM26" s="19"/>
      <c r="CN26" s="19"/>
      <c r="CO26" s="19"/>
      <c r="CP26" s="19"/>
      <c r="CQ26" s="19"/>
      <c r="CR26" s="28"/>
    </row>
    <row r="27" spans="1:96" ht="17.25" customHeight="1" x14ac:dyDescent="0.25">
      <c r="A27" s="27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28"/>
      <c r="M27" s="27"/>
      <c r="N27" s="19"/>
      <c r="O27" s="19"/>
      <c r="P27" s="19"/>
      <c r="Q27" s="19"/>
      <c r="R27" s="28"/>
      <c r="AD27" s="21"/>
      <c r="AE27" s="22"/>
      <c r="AF27" s="22"/>
      <c r="AG27" s="23"/>
      <c r="AI27" s="21"/>
      <c r="AJ27" s="22"/>
      <c r="AK27" s="22"/>
      <c r="AL27" s="23"/>
      <c r="AP27" s="21"/>
      <c r="AQ27" s="22"/>
      <c r="AR27" s="22"/>
      <c r="AS27" s="23"/>
      <c r="AU27" s="21"/>
      <c r="AV27" s="22"/>
      <c r="AW27" s="22"/>
      <c r="AX27" s="23"/>
      <c r="BE27" s="21"/>
      <c r="BF27" s="22"/>
      <c r="BG27" s="22"/>
      <c r="BH27" s="23"/>
      <c r="BJ27" s="21"/>
      <c r="BK27" s="22"/>
      <c r="BL27" s="22"/>
      <c r="BM27" s="23"/>
      <c r="BT27" s="21"/>
      <c r="BU27" s="22"/>
      <c r="BV27" s="22"/>
      <c r="BW27" s="23"/>
      <c r="BY27" s="21"/>
      <c r="BZ27" s="22"/>
      <c r="CA27" s="22"/>
      <c r="CB27" s="23"/>
      <c r="CK27" s="27"/>
      <c r="CL27" s="19"/>
      <c r="CM27" s="19"/>
      <c r="CN27" s="19"/>
      <c r="CO27" s="19"/>
      <c r="CP27" s="19"/>
      <c r="CQ27" s="19"/>
      <c r="CR27" s="28"/>
    </row>
    <row r="28" spans="1:96" ht="17.25" customHeight="1" x14ac:dyDescent="0.25">
      <c r="A28" s="27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28"/>
      <c r="M28" s="29"/>
      <c r="N28" s="30"/>
      <c r="O28" s="30"/>
      <c r="P28" s="30"/>
      <c r="Q28" s="30"/>
      <c r="R28" s="31"/>
      <c r="CK28" s="27"/>
      <c r="CL28" s="19"/>
      <c r="CM28" s="19"/>
      <c r="CN28" s="19"/>
      <c r="CO28" s="19"/>
      <c r="CP28" s="19"/>
      <c r="CQ28" s="19"/>
      <c r="CR28" s="28"/>
    </row>
    <row r="29" spans="1:96" ht="17.25" customHeight="1" x14ac:dyDescent="0.25">
      <c r="A29" s="27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28"/>
      <c r="M29" s="34" t="s">
        <v>29</v>
      </c>
      <c r="N29" s="25"/>
      <c r="O29" s="25"/>
      <c r="P29" s="25"/>
      <c r="Q29" s="25"/>
      <c r="R29" s="26"/>
      <c r="W29" s="12" t="s">
        <v>30</v>
      </c>
      <c r="X29" s="13"/>
      <c r="Y29" s="13"/>
      <c r="Z29" s="13"/>
      <c r="AA29" s="14"/>
      <c r="AC29" s="12" t="s">
        <v>31</v>
      </c>
      <c r="AD29" s="13"/>
      <c r="AE29" s="13"/>
      <c r="AF29" s="13"/>
      <c r="AG29" s="14"/>
      <c r="AI29" s="12" t="s">
        <v>32</v>
      </c>
      <c r="AJ29" s="13"/>
      <c r="AK29" s="13"/>
      <c r="AL29" s="13"/>
      <c r="AM29" s="14"/>
      <c r="AP29" s="12" t="s">
        <v>33</v>
      </c>
      <c r="AQ29" s="13"/>
      <c r="AR29" s="13"/>
      <c r="AS29" s="13"/>
      <c r="AT29" s="13"/>
      <c r="AU29" s="14"/>
      <c r="AV29" s="12" t="s">
        <v>34</v>
      </c>
      <c r="AW29" s="13"/>
      <c r="AX29" s="13"/>
      <c r="AY29" s="13"/>
      <c r="AZ29" s="13"/>
      <c r="BA29" s="14"/>
      <c r="BB29" s="12" t="s">
        <v>35</v>
      </c>
      <c r="BC29" s="13"/>
      <c r="BD29" s="13"/>
      <c r="BE29" s="13"/>
      <c r="BF29" s="13"/>
      <c r="BG29" s="14"/>
      <c r="BH29" s="12" t="s">
        <v>36</v>
      </c>
      <c r="BI29" s="13"/>
      <c r="BJ29" s="13"/>
      <c r="BK29" s="13"/>
      <c r="BL29" s="13"/>
      <c r="BM29" s="14"/>
      <c r="BR29" s="12" t="s">
        <v>37</v>
      </c>
      <c r="BS29" s="13"/>
      <c r="BT29" s="13"/>
      <c r="BU29" s="14"/>
      <c r="BV29" s="12" t="s">
        <v>38</v>
      </c>
      <c r="BW29" s="13"/>
      <c r="BX29" s="13"/>
      <c r="BY29" s="14"/>
      <c r="BZ29" s="12" t="s">
        <v>39</v>
      </c>
      <c r="CA29" s="13"/>
      <c r="CB29" s="13"/>
      <c r="CC29" s="14"/>
      <c r="CD29" s="12" t="s">
        <v>40</v>
      </c>
      <c r="CE29" s="13"/>
      <c r="CF29" s="13"/>
      <c r="CG29" s="14"/>
      <c r="CK29" s="27"/>
      <c r="CL29" s="19"/>
      <c r="CM29" s="19"/>
      <c r="CN29" s="19"/>
      <c r="CO29" s="19"/>
      <c r="CP29" s="19"/>
      <c r="CQ29" s="19"/>
      <c r="CR29" s="28"/>
    </row>
    <row r="30" spans="1:96" ht="17.25" customHeight="1" x14ac:dyDescent="0.25">
      <c r="A30" s="27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28"/>
      <c r="M30" s="27"/>
      <c r="N30" s="19"/>
      <c r="O30" s="19"/>
      <c r="P30" s="19"/>
      <c r="Q30" s="19"/>
      <c r="R30" s="28"/>
      <c r="W30" s="15" t="str">
        <f>IF('DANH SÁCH KHÁCH'!$C$43="","",'DANH SÁCH KHÁCH'!$C$43)</f>
        <v>Nguyễn Hải Đăng</v>
      </c>
      <c r="X30" s="16"/>
      <c r="Y30" s="16"/>
      <c r="Z30" s="16"/>
      <c r="AA30" s="17"/>
      <c r="AC30" s="15" t="str">
        <f>IF('DANH SÁCH KHÁCH'!$C$44="","",'DANH SÁCH KHÁCH'!$C$44)</f>
        <v>Chu Thị Hồ Loan</v>
      </c>
      <c r="AD30" s="16"/>
      <c r="AE30" s="16"/>
      <c r="AF30" s="16"/>
      <c r="AG30" s="17"/>
      <c r="AI30" s="15" t="str">
        <f>IF('DANH SÁCH KHÁCH'!$C$45="","",'DANH SÁCH KHÁCH'!$C$45)</f>
        <v>Hoàng Minh Thu</v>
      </c>
      <c r="AJ30" s="16"/>
      <c r="AK30" s="16"/>
      <c r="AL30" s="16"/>
      <c r="AM30" s="17"/>
      <c r="AP30" s="15" t="str">
        <f>IF('DANH SÁCH KHÁCH'!$C$27="","",'DANH SÁCH KHÁCH'!$C$27)</f>
        <v>Phạm Sơn</v>
      </c>
      <c r="AQ30" s="16"/>
      <c r="AR30" s="16"/>
      <c r="AS30" s="16"/>
      <c r="AT30" s="16"/>
      <c r="AU30" s="17"/>
      <c r="AV30" s="15" t="str">
        <f>IF('DANH SÁCH KHÁCH'!$C$28="","",'DANH SÁCH KHÁCH'!$C$28)</f>
        <v>Nguyễn Thị Minh Hồng</v>
      </c>
      <c r="AW30" s="16"/>
      <c r="AX30" s="16"/>
      <c r="AY30" s="16"/>
      <c r="AZ30" s="16"/>
      <c r="BA30" s="17"/>
      <c r="BB30" s="15" t="str">
        <f>IF('DANH SÁCH KHÁCH'!$C$29="","",'DANH SÁCH KHÁCH'!$C$29)</f>
        <v>Trần Thanh Hương</v>
      </c>
      <c r="BC30" s="16"/>
      <c r="BD30" s="16"/>
      <c r="BE30" s="16"/>
      <c r="BF30" s="16"/>
      <c r="BG30" s="17"/>
      <c r="BH30" s="15" t="str">
        <f>IF('DANH SÁCH KHÁCH'!$C$30="","",'DANH SÁCH KHÁCH'!$C$30)</f>
        <v>Lê Thùy Linh</v>
      </c>
      <c r="BI30" s="16"/>
      <c r="BJ30" s="16"/>
      <c r="BK30" s="16"/>
      <c r="BL30" s="16"/>
      <c r="BM30" s="17"/>
      <c r="BR30" s="15" t="str">
        <f>IF('DANH SÁCH KHÁCH'!$C$35="","",'DANH SÁCH KHÁCH'!$C$35)</f>
        <v>Bùi Văn Thung</v>
      </c>
      <c r="BS30" s="16"/>
      <c r="BT30" s="16"/>
      <c r="BU30" s="17"/>
      <c r="BV30" s="15" t="str">
        <f>IF('DANH SÁCH KHÁCH'!$C$36="","",'DANH SÁCH KHÁCH'!$C$36)</f>
        <v>Trương Thị Thanh Hà</v>
      </c>
      <c r="BW30" s="16"/>
      <c r="BX30" s="16"/>
      <c r="BY30" s="17"/>
      <c r="BZ30" s="15" t="str">
        <f>IF('DANH SÁCH KHÁCH'!$C$37="","",'DANH SÁCH KHÁCH'!$C$37)</f>
        <v>Nguyễn Thu Hà</v>
      </c>
      <c r="CA30" s="16"/>
      <c r="CB30" s="16"/>
      <c r="CC30" s="17"/>
      <c r="CD30" s="15" t="str">
        <f>IF('DANH SÁCH KHÁCH'!$C$38="","",'DANH SÁCH KHÁCH'!$C$38)</f>
        <v>Kiều Đức Quảng</v>
      </c>
      <c r="CE30" s="16"/>
      <c r="CF30" s="16"/>
      <c r="CG30" s="17"/>
      <c r="CK30" s="27"/>
      <c r="CL30" s="19"/>
      <c r="CM30" s="19"/>
      <c r="CN30" s="19"/>
      <c r="CO30" s="19"/>
      <c r="CP30" s="19"/>
      <c r="CQ30" s="19"/>
      <c r="CR30" s="28"/>
    </row>
    <row r="31" spans="1:96" ht="17.25" customHeight="1" x14ac:dyDescent="0.25">
      <c r="A31" s="27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8"/>
      <c r="M31" s="27"/>
      <c r="N31" s="19"/>
      <c r="O31" s="19"/>
      <c r="P31" s="19"/>
      <c r="Q31" s="19"/>
      <c r="R31" s="28"/>
      <c r="W31" s="18"/>
      <c r="X31" s="19"/>
      <c r="Y31" s="19"/>
      <c r="Z31" s="19"/>
      <c r="AA31" s="20"/>
      <c r="AC31" s="18"/>
      <c r="AD31" s="19"/>
      <c r="AE31" s="19"/>
      <c r="AF31" s="19"/>
      <c r="AG31" s="20"/>
      <c r="AI31" s="18"/>
      <c r="AJ31" s="19"/>
      <c r="AK31" s="19"/>
      <c r="AL31" s="19"/>
      <c r="AM31" s="20"/>
      <c r="AP31" s="18"/>
      <c r="AQ31" s="19"/>
      <c r="AR31" s="19"/>
      <c r="AS31" s="19"/>
      <c r="AT31" s="19"/>
      <c r="AU31" s="20"/>
      <c r="AV31" s="18"/>
      <c r="AW31" s="19"/>
      <c r="AX31" s="19"/>
      <c r="AY31" s="19"/>
      <c r="AZ31" s="19"/>
      <c r="BA31" s="20"/>
      <c r="BB31" s="18"/>
      <c r="BC31" s="19"/>
      <c r="BD31" s="19"/>
      <c r="BE31" s="19"/>
      <c r="BF31" s="19"/>
      <c r="BG31" s="20"/>
      <c r="BH31" s="18"/>
      <c r="BI31" s="19"/>
      <c r="BJ31" s="19"/>
      <c r="BK31" s="19"/>
      <c r="BL31" s="19"/>
      <c r="BM31" s="20"/>
      <c r="BR31" s="18"/>
      <c r="BS31" s="19"/>
      <c r="BT31" s="19"/>
      <c r="BU31" s="20"/>
      <c r="BV31" s="18"/>
      <c r="BW31" s="19"/>
      <c r="BX31" s="19"/>
      <c r="BY31" s="20"/>
      <c r="BZ31" s="18"/>
      <c r="CA31" s="19"/>
      <c r="CB31" s="19"/>
      <c r="CC31" s="20"/>
      <c r="CD31" s="18"/>
      <c r="CE31" s="19"/>
      <c r="CF31" s="19"/>
      <c r="CG31" s="20"/>
      <c r="CK31" s="27"/>
      <c r="CL31" s="19"/>
      <c r="CM31" s="19"/>
      <c r="CN31" s="19"/>
      <c r="CO31" s="19"/>
      <c r="CP31" s="19"/>
      <c r="CQ31" s="19"/>
      <c r="CR31" s="28"/>
    </row>
    <row r="32" spans="1:96" ht="17.25" customHeight="1" x14ac:dyDescent="0.25">
      <c r="A32" s="27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8"/>
      <c r="M32" s="27"/>
      <c r="N32" s="19"/>
      <c r="O32" s="19"/>
      <c r="P32" s="19"/>
      <c r="Q32" s="19"/>
      <c r="R32" s="28"/>
      <c r="W32" s="21"/>
      <c r="X32" s="22"/>
      <c r="Y32" s="22"/>
      <c r="Z32" s="22"/>
      <c r="AA32" s="23"/>
      <c r="AC32" s="21"/>
      <c r="AD32" s="22"/>
      <c r="AE32" s="22"/>
      <c r="AF32" s="22"/>
      <c r="AG32" s="23"/>
      <c r="AI32" s="21"/>
      <c r="AJ32" s="22"/>
      <c r="AK32" s="22"/>
      <c r="AL32" s="22"/>
      <c r="AM32" s="23"/>
      <c r="AP32" s="21"/>
      <c r="AQ32" s="22"/>
      <c r="AR32" s="22"/>
      <c r="AS32" s="22"/>
      <c r="AT32" s="22"/>
      <c r="AU32" s="23"/>
      <c r="AV32" s="21"/>
      <c r="AW32" s="22"/>
      <c r="AX32" s="22"/>
      <c r="AY32" s="22"/>
      <c r="AZ32" s="22"/>
      <c r="BA32" s="23"/>
      <c r="BB32" s="21"/>
      <c r="BC32" s="22"/>
      <c r="BD32" s="22"/>
      <c r="BE32" s="22"/>
      <c r="BF32" s="22"/>
      <c r="BG32" s="23"/>
      <c r="BH32" s="21"/>
      <c r="BI32" s="22"/>
      <c r="BJ32" s="22"/>
      <c r="BK32" s="22"/>
      <c r="BL32" s="22"/>
      <c r="BM32" s="23"/>
      <c r="BR32" s="21"/>
      <c r="BS32" s="22"/>
      <c r="BT32" s="22"/>
      <c r="BU32" s="23"/>
      <c r="BV32" s="21"/>
      <c r="BW32" s="22"/>
      <c r="BX32" s="22"/>
      <c r="BY32" s="23"/>
      <c r="BZ32" s="21"/>
      <c r="CA32" s="22"/>
      <c r="CB32" s="22"/>
      <c r="CC32" s="23"/>
      <c r="CD32" s="21"/>
      <c r="CE32" s="22"/>
      <c r="CF32" s="22"/>
      <c r="CG32" s="23"/>
      <c r="CK32" s="27"/>
      <c r="CL32" s="19"/>
      <c r="CM32" s="19"/>
      <c r="CN32" s="19"/>
      <c r="CO32" s="19"/>
      <c r="CP32" s="19"/>
      <c r="CQ32" s="19"/>
      <c r="CR32" s="28"/>
    </row>
    <row r="33" spans="1:96" ht="0.75" customHeight="1" x14ac:dyDescent="0.25">
      <c r="A33" s="27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8"/>
      <c r="M33" s="27"/>
      <c r="N33" s="19"/>
      <c r="O33" s="19"/>
      <c r="P33" s="19"/>
      <c r="Q33" s="19"/>
      <c r="R33" s="28"/>
      <c r="CK33" s="27"/>
      <c r="CL33" s="19"/>
      <c r="CM33" s="19"/>
      <c r="CN33" s="19"/>
      <c r="CO33" s="19"/>
      <c r="CP33" s="19"/>
      <c r="CQ33" s="19"/>
      <c r="CR33" s="28"/>
    </row>
    <row r="34" spans="1:96" ht="17.25" customHeight="1" x14ac:dyDescent="0.25">
      <c r="A34" s="27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8"/>
      <c r="M34" s="27"/>
      <c r="N34" s="19"/>
      <c r="O34" s="19"/>
      <c r="P34" s="19"/>
      <c r="Q34" s="19"/>
      <c r="R34" s="28"/>
      <c r="W34" s="36" t="s">
        <v>41</v>
      </c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8"/>
      <c r="AP34" s="36" t="s">
        <v>42</v>
      </c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8"/>
      <c r="BR34" s="36" t="s">
        <v>43</v>
      </c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8"/>
      <c r="CK34" s="27"/>
      <c r="CL34" s="19"/>
      <c r="CM34" s="19"/>
      <c r="CN34" s="19"/>
      <c r="CO34" s="19"/>
      <c r="CP34" s="19"/>
      <c r="CQ34" s="19"/>
      <c r="CR34" s="28"/>
    </row>
    <row r="35" spans="1:96" ht="17.25" customHeight="1" x14ac:dyDescent="0.25">
      <c r="A35" s="27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8"/>
      <c r="M35" s="27"/>
      <c r="N35" s="19"/>
      <c r="O35" s="19"/>
      <c r="P35" s="19"/>
      <c r="Q35" s="19"/>
      <c r="R35" s="28"/>
      <c r="W35" s="3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40"/>
      <c r="AP35" s="3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40"/>
      <c r="BR35" s="3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40"/>
      <c r="CK35" s="27"/>
      <c r="CL35" s="19"/>
      <c r="CM35" s="19"/>
      <c r="CN35" s="19"/>
      <c r="CO35" s="19"/>
      <c r="CP35" s="19"/>
      <c r="CQ35" s="19"/>
      <c r="CR35" s="28"/>
    </row>
    <row r="36" spans="1:96" ht="17.25" customHeight="1" x14ac:dyDescent="0.25">
      <c r="A36" s="27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8"/>
      <c r="M36" s="27"/>
      <c r="N36" s="19"/>
      <c r="O36" s="19"/>
      <c r="P36" s="19"/>
      <c r="Q36" s="19"/>
      <c r="R36" s="28"/>
      <c r="W36" s="41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3"/>
      <c r="AP36" s="41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3"/>
      <c r="BR36" s="41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3"/>
      <c r="CK36" s="27"/>
      <c r="CL36" s="19"/>
      <c r="CM36" s="19"/>
      <c r="CN36" s="19"/>
      <c r="CO36" s="19"/>
      <c r="CP36" s="19"/>
      <c r="CQ36" s="19"/>
      <c r="CR36" s="28"/>
    </row>
    <row r="37" spans="1:96" ht="3" customHeight="1" x14ac:dyDescent="0.25">
      <c r="A37" s="27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8"/>
      <c r="M37" s="27"/>
      <c r="N37" s="19"/>
      <c r="O37" s="19"/>
      <c r="P37" s="19"/>
      <c r="Q37" s="19"/>
      <c r="R37" s="28"/>
      <c r="CK37" s="27"/>
      <c r="CL37" s="19"/>
      <c r="CM37" s="19"/>
      <c r="CN37" s="19"/>
      <c r="CO37" s="19"/>
      <c r="CP37" s="19"/>
      <c r="CQ37" s="19"/>
      <c r="CR37" s="28"/>
    </row>
    <row r="38" spans="1:96" ht="17.25" customHeight="1" x14ac:dyDescent="0.25">
      <c r="A38" s="27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8"/>
      <c r="M38" s="27"/>
      <c r="N38" s="19"/>
      <c r="O38" s="19"/>
      <c r="P38" s="19"/>
      <c r="Q38" s="19"/>
      <c r="R38" s="28"/>
      <c r="W38" s="12" t="s">
        <v>44</v>
      </c>
      <c r="X38" s="13"/>
      <c r="Y38" s="13"/>
      <c r="Z38" s="13"/>
      <c r="AA38" s="14"/>
      <c r="AC38" s="12" t="s">
        <v>45</v>
      </c>
      <c r="AD38" s="13"/>
      <c r="AE38" s="13"/>
      <c r="AF38" s="13"/>
      <c r="AG38" s="14"/>
      <c r="AI38" s="12" t="s">
        <v>46</v>
      </c>
      <c r="AJ38" s="13"/>
      <c r="AK38" s="13"/>
      <c r="AL38" s="13"/>
      <c r="AM38" s="14"/>
      <c r="AP38" s="12" t="s">
        <v>47</v>
      </c>
      <c r="AQ38" s="13"/>
      <c r="AR38" s="13"/>
      <c r="AS38" s="13"/>
      <c r="AT38" s="13"/>
      <c r="AU38" s="14"/>
      <c r="AV38" s="12" t="s">
        <v>48</v>
      </c>
      <c r="AW38" s="13"/>
      <c r="AX38" s="13"/>
      <c r="AY38" s="13"/>
      <c r="AZ38" s="13"/>
      <c r="BA38" s="14"/>
      <c r="BB38" s="12" t="s">
        <v>49</v>
      </c>
      <c r="BC38" s="13"/>
      <c r="BD38" s="13"/>
      <c r="BE38" s="13"/>
      <c r="BF38" s="13"/>
      <c r="BG38" s="14"/>
      <c r="BH38" s="12" t="s">
        <v>50</v>
      </c>
      <c r="BI38" s="13"/>
      <c r="BJ38" s="13"/>
      <c r="BK38" s="13"/>
      <c r="BL38" s="13"/>
      <c r="BM38" s="14"/>
      <c r="BR38" s="12" t="s">
        <v>51</v>
      </c>
      <c r="BS38" s="13"/>
      <c r="BT38" s="13"/>
      <c r="BU38" s="14"/>
      <c r="BV38" s="12" t="s">
        <v>52</v>
      </c>
      <c r="BW38" s="13"/>
      <c r="BX38" s="13"/>
      <c r="BY38" s="14"/>
      <c r="BZ38" s="12" t="s">
        <v>53</v>
      </c>
      <c r="CA38" s="13"/>
      <c r="CB38" s="13"/>
      <c r="CC38" s="14"/>
      <c r="CD38" s="12" t="s">
        <v>54</v>
      </c>
      <c r="CE38" s="13"/>
      <c r="CF38" s="13"/>
      <c r="CG38" s="14"/>
      <c r="CK38" s="27"/>
      <c r="CL38" s="19"/>
      <c r="CM38" s="19"/>
      <c r="CN38" s="19"/>
      <c r="CO38" s="19"/>
      <c r="CP38" s="19"/>
      <c r="CQ38" s="19"/>
      <c r="CR38" s="28"/>
    </row>
    <row r="39" spans="1:96" ht="17.25" customHeight="1" x14ac:dyDescent="0.25">
      <c r="A39" s="27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8"/>
      <c r="M39" s="27"/>
      <c r="N39" s="19"/>
      <c r="O39" s="19"/>
      <c r="P39" s="19"/>
      <c r="Q39" s="19"/>
      <c r="R39" s="28"/>
      <c r="W39" s="15" t="str">
        <f>IF('DANH SÁCH KHÁCH'!$C$48="","",'DANH SÁCH KHÁCH'!$C$48)</f>
        <v>Phạm Văn Tùng</v>
      </c>
      <c r="X39" s="16"/>
      <c r="Y39" s="16"/>
      <c r="Z39" s="16"/>
      <c r="AA39" s="17"/>
      <c r="AC39" s="15" t="str">
        <f>IF('DANH SÁCH KHÁCH'!$C$47="","",'DANH SÁCH KHÁCH'!$C$47)</f>
        <v>Trần Văn Chung</v>
      </c>
      <c r="AD39" s="16"/>
      <c r="AE39" s="16"/>
      <c r="AF39" s="16"/>
      <c r="AG39" s="17"/>
      <c r="AI39" s="15" t="str">
        <f>IF('DANH SÁCH KHÁCH'!$C$46="","",'DANH SÁCH KHÁCH'!$C$46)</f>
        <v>Trần Đức Trung</v>
      </c>
      <c r="AJ39" s="16"/>
      <c r="AK39" s="16"/>
      <c r="AL39" s="16"/>
      <c r="AM39" s="17"/>
      <c r="AP39" s="15" t="str">
        <f>IF('DANH SÁCH KHÁCH'!$C$34="","",'DANH SÁCH KHÁCH'!$C$34)</f>
        <v>Nguyễn Đức Giang</v>
      </c>
      <c r="AQ39" s="16"/>
      <c r="AR39" s="16"/>
      <c r="AS39" s="16"/>
      <c r="AT39" s="16"/>
      <c r="AU39" s="17"/>
      <c r="AV39" s="15" t="str">
        <f>IF('DANH SÁCH KHÁCH'!$C$33="","",'DANH SÁCH KHÁCH'!$C$33)</f>
        <v>Lê Xuân Giang</v>
      </c>
      <c r="AW39" s="16"/>
      <c r="AX39" s="16"/>
      <c r="AY39" s="16"/>
      <c r="AZ39" s="16"/>
      <c r="BA39" s="17"/>
      <c r="BB39" s="15" t="str">
        <f>IF('DANH SÁCH KHÁCH'!$C$32="","",'DANH SÁCH KHÁCH'!$C$32)</f>
        <v>Nguyễn Thanh Hải</v>
      </c>
      <c r="BC39" s="16"/>
      <c r="BD39" s="16"/>
      <c r="BE39" s="16"/>
      <c r="BF39" s="16"/>
      <c r="BG39" s="17"/>
      <c r="BH39" s="15" t="str">
        <f>IF('DANH SÁCH KHÁCH'!$C$31="","",'DANH SÁCH KHÁCH'!$C$31)</f>
        <v>Nguyễn Duy Trọng</v>
      </c>
      <c r="BI39" s="16"/>
      <c r="BJ39" s="16"/>
      <c r="BK39" s="16"/>
      <c r="BL39" s="16"/>
      <c r="BM39" s="17"/>
      <c r="BR39" s="15" t="str">
        <f>IF('DANH SÁCH KHÁCH'!$C$42="","",'DANH SÁCH KHÁCH'!$C$42)</f>
        <v>Bùi Hoàng Duy</v>
      </c>
      <c r="BS39" s="16"/>
      <c r="BT39" s="16"/>
      <c r="BU39" s="17"/>
      <c r="BV39" s="15" t="str">
        <f>IF('DANH SÁCH KHÁCH'!$C$41="","",'DANH SÁCH KHÁCH'!$C$41)</f>
        <v>Nguyễn Tiến Mạnh</v>
      </c>
      <c r="BW39" s="16"/>
      <c r="BX39" s="16"/>
      <c r="BY39" s="17"/>
      <c r="BZ39" s="15" t="str">
        <f>IF('DANH SÁCH KHÁCH'!$C$40="","",'DANH SÁCH KHÁCH'!$C$40)</f>
        <v>Phạm Văn Nam</v>
      </c>
      <c r="CA39" s="16"/>
      <c r="CB39" s="16"/>
      <c r="CC39" s="17"/>
      <c r="CD39" s="15" t="str">
        <f>IF('DANH SÁCH KHÁCH'!$C$39="","",'DANH SÁCH KHÁCH'!$C$39)</f>
        <v>Khuất Duy Thành</v>
      </c>
      <c r="CE39" s="16"/>
      <c r="CF39" s="16"/>
      <c r="CG39" s="17"/>
      <c r="CK39" s="27"/>
      <c r="CL39" s="19"/>
      <c r="CM39" s="19"/>
      <c r="CN39" s="19"/>
      <c r="CO39" s="19"/>
      <c r="CP39" s="19"/>
      <c r="CQ39" s="19"/>
      <c r="CR39" s="28"/>
    </row>
    <row r="40" spans="1:96" ht="17.25" customHeight="1" x14ac:dyDescent="0.25">
      <c r="A40" s="27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8"/>
      <c r="M40" s="27"/>
      <c r="N40" s="19"/>
      <c r="O40" s="19"/>
      <c r="P40" s="19"/>
      <c r="Q40" s="19"/>
      <c r="R40" s="28"/>
      <c r="W40" s="18"/>
      <c r="X40" s="19"/>
      <c r="Y40" s="19"/>
      <c r="Z40" s="19"/>
      <c r="AA40" s="20"/>
      <c r="AC40" s="18"/>
      <c r="AD40" s="19"/>
      <c r="AE40" s="19"/>
      <c r="AF40" s="19"/>
      <c r="AG40" s="20"/>
      <c r="AI40" s="18"/>
      <c r="AJ40" s="19"/>
      <c r="AK40" s="19"/>
      <c r="AL40" s="19"/>
      <c r="AM40" s="20"/>
      <c r="AP40" s="18"/>
      <c r="AQ40" s="19"/>
      <c r="AR40" s="19"/>
      <c r="AS40" s="19"/>
      <c r="AT40" s="19"/>
      <c r="AU40" s="20"/>
      <c r="AV40" s="18"/>
      <c r="AW40" s="19"/>
      <c r="AX40" s="19"/>
      <c r="AY40" s="19"/>
      <c r="AZ40" s="19"/>
      <c r="BA40" s="20"/>
      <c r="BB40" s="18"/>
      <c r="BC40" s="19"/>
      <c r="BD40" s="19"/>
      <c r="BE40" s="19"/>
      <c r="BF40" s="19"/>
      <c r="BG40" s="20"/>
      <c r="BH40" s="18"/>
      <c r="BI40" s="19"/>
      <c r="BJ40" s="19"/>
      <c r="BK40" s="19"/>
      <c r="BL40" s="19"/>
      <c r="BM40" s="20"/>
      <c r="BR40" s="18"/>
      <c r="BS40" s="19"/>
      <c r="BT40" s="19"/>
      <c r="BU40" s="20"/>
      <c r="BV40" s="18"/>
      <c r="BW40" s="19"/>
      <c r="BX40" s="19"/>
      <c r="BY40" s="20"/>
      <c r="BZ40" s="18"/>
      <c r="CA40" s="19"/>
      <c r="CB40" s="19"/>
      <c r="CC40" s="20"/>
      <c r="CD40" s="18"/>
      <c r="CE40" s="19"/>
      <c r="CF40" s="19"/>
      <c r="CG40" s="20"/>
      <c r="CK40" s="27"/>
      <c r="CL40" s="19"/>
      <c r="CM40" s="19"/>
      <c r="CN40" s="19"/>
      <c r="CO40" s="19"/>
      <c r="CP40" s="19"/>
      <c r="CQ40" s="19"/>
      <c r="CR40" s="28"/>
    </row>
    <row r="41" spans="1:96" ht="17.25" customHeight="1" x14ac:dyDescent="0.25">
      <c r="A41" s="27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8"/>
      <c r="M41" s="27"/>
      <c r="N41" s="19"/>
      <c r="O41" s="19"/>
      <c r="P41" s="19"/>
      <c r="Q41" s="19"/>
      <c r="R41" s="28"/>
      <c r="W41" s="21"/>
      <c r="X41" s="22"/>
      <c r="Y41" s="22"/>
      <c r="Z41" s="22"/>
      <c r="AA41" s="23"/>
      <c r="AC41" s="21"/>
      <c r="AD41" s="22"/>
      <c r="AE41" s="22"/>
      <c r="AF41" s="22"/>
      <c r="AG41" s="23"/>
      <c r="AI41" s="21"/>
      <c r="AJ41" s="22"/>
      <c r="AK41" s="22"/>
      <c r="AL41" s="22"/>
      <c r="AM41" s="23"/>
      <c r="AP41" s="21"/>
      <c r="AQ41" s="22"/>
      <c r="AR41" s="22"/>
      <c r="AS41" s="22"/>
      <c r="AT41" s="22"/>
      <c r="AU41" s="23"/>
      <c r="AV41" s="21"/>
      <c r="AW41" s="22"/>
      <c r="AX41" s="22"/>
      <c r="AY41" s="22"/>
      <c r="AZ41" s="22"/>
      <c r="BA41" s="23"/>
      <c r="BB41" s="21"/>
      <c r="BC41" s="22"/>
      <c r="BD41" s="22"/>
      <c r="BE41" s="22"/>
      <c r="BF41" s="22"/>
      <c r="BG41" s="23"/>
      <c r="BH41" s="21"/>
      <c r="BI41" s="22"/>
      <c r="BJ41" s="22"/>
      <c r="BK41" s="22"/>
      <c r="BL41" s="22"/>
      <c r="BM41" s="23"/>
      <c r="BR41" s="21"/>
      <c r="BS41" s="22"/>
      <c r="BT41" s="22"/>
      <c r="BU41" s="23"/>
      <c r="BV41" s="21"/>
      <c r="BW41" s="22"/>
      <c r="BX41" s="22"/>
      <c r="BY41" s="23"/>
      <c r="BZ41" s="21"/>
      <c r="CA41" s="22"/>
      <c r="CB41" s="22"/>
      <c r="CC41" s="23"/>
      <c r="CD41" s="21"/>
      <c r="CE41" s="22"/>
      <c r="CF41" s="22"/>
      <c r="CG41" s="23"/>
      <c r="CK41" s="27"/>
      <c r="CL41" s="19"/>
      <c r="CM41" s="19"/>
      <c r="CN41" s="19"/>
      <c r="CO41" s="19"/>
      <c r="CP41" s="19"/>
      <c r="CQ41" s="19"/>
      <c r="CR41" s="28"/>
    </row>
    <row r="42" spans="1:96" ht="17.25" customHeight="1" x14ac:dyDescent="0.25">
      <c r="A42" s="27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8"/>
      <c r="M42" s="29"/>
      <c r="N42" s="30"/>
      <c r="O42" s="30"/>
      <c r="P42" s="30"/>
      <c r="Q42" s="30"/>
      <c r="R42" s="31"/>
      <c r="CK42" s="27"/>
      <c r="CL42" s="19"/>
      <c r="CM42" s="19"/>
      <c r="CN42" s="19"/>
      <c r="CO42" s="19"/>
      <c r="CP42" s="19"/>
      <c r="CQ42" s="19"/>
      <c r="CR42" s="28"/>
    </row>
    <row r="43" spans="1:96" ht="17.25" customHeight="1" x14ac:dyDescent="0.25">
      <c r="A43" s="27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8"/>
      <c r="M43" s="33" t="s">
        <v>16</v>
      </c>
      <c r="N43" s="25"/>
      <c r="O43" s="25"/>
      <c r="P43" s="25"/>
      <c r="Q43" s="25"/>
      <c r="R43" s="26"/>
      <c r="V43" s="12" t="s">
        <v>55</v>
      </c>
      <c r="W43" s="13"/>
      <c r="X43" s="13"/>
      <c r="Y43" s="13"/>
      <c r="Z43" s="14"/>
      <c r="AB43" s="12" t="s">
        <v>56</v>
      </c>
      <c r="AC43" s="13"/>
      <c r="AD43" s="13"/>
      <c r="AE43" s="13"/>
      <c r="AF43" s="14"/>
      <c r="AH43" s="12" t="s">
        <v>57</v>
      </c>
      <c r="AI43" s="13"/>
      <c r="AJ43" s="13"/>
      <c r="AK43" s="13"/>
      <c r="AL43" s="14"/>
      <c r="AS43" s="12" t="s">
        <v>58</v>
      </c>
      <c r="AT43" s="13"/>
      <c r="AU43" s="13"/>
      <c r="AV43" s="13"/>
      <c r="AW43" s="14"/>
      <c r="AY43" s="12" t="s">
        <v>59</v>
      </c>
      <c r="AZ43" s="13"/>
      <c r="BA43" s="13"/>
      <c r="BB43" s="13"/>
      <c r="BC43" s="14"/>
      <c r="BE43" s="12" t="s">
        <v>60</v>
      </c>
      <c r="BF43" s="13"/>
      <c r="BG43" s="13"/>
      <c r="BH43" s="13"/>
      <c r="BI43" s="14"/>
      <c r="BR43" s="12" t="s">
        <v>61</v>
      </c>
      <c r="BS43" s="13"/>
      <c r="BT43" s="13"/>
      <c r="BU43" s="13"/>
      <c r="BV43" s="14"/>
      <c r="BX43" s="12" t="s">
        <v>62</v>
      </c>
      <c r="BY43" s="13"/>
      <c r="BZ43" s="13"/>
      <c r="CA43" s="13"/>
      <c r="CB43" s="14"/>
      <c r="CD43" s="12" t="s">
        <v>63</v>
      </c>
      <c r="CE43" s="13"/>
      <c r="CF43" s="13"/>
      <c r="CG43" s="13"/>
      <c r="CH43" s="14"/>
      <c r="CK43" s="27"/>
      <c r="CL43" s="19"/>
      <c r="CM43" s="19"/>
      <c r="CN43" s="19"/>
      <c r="CO43" s="19"/>
      <c r="CP43" s="19"/>
      <c r="CQ43" s="19"/>
      <c r="CR43" s="28"/>
    </row>
    <row r="44" spans="1:96" ht="17.25" customHeight="1" x14ac:dyDescent="0.25">
      <c r="A44" s="27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8"/>
      <c r="M44" s="27"/>
      <c r="N44" s="19"/>
      <c r="O44" s="19"/>
      <c r="P44" s="19"/>
      <c r="Q44" s="19"/>
      <c r="R44" s="28"/>
      <c r="V44" s="15" t="str">
        <f>IF('DANH SÁCH KHÁCH'!$C$49="","",'DANH SÁCH KHÁCH'!$C$49)</f>
        <v>Trần Trung Thành</v>
      </c>
      <c r="W44" s="16"/>
      <c r="X44" s="16"/>
      <c r="Y44" s="16"/>
      <c r="Z44" s="17"/>
      <c r="AB44" s="15" t="str">
        <f>IF('DANH SÁCH KHÁCH'!$C$50="","",'DANH SÁCH KHÁCH'!$C$50)</f>
        <v>Đỗ Hồng Phong</v>
      </c>
      <c r="AC44" s="16"/>
      <c r="AD44" s="16"/>
      <c r="AE44" s="16"/>
      <c r="AF44" s="17"/>
      <c r="AH44" s="15" t="str">
        <f>IF('DANH SÁCH KHÁCH'!$C$51="","",'DANH SÁCH KHÁCH'!$C$51)</f>
        <v>Đinh Thị Quỳnh Hoa</v>
      </c>
      <c r="AI44" s="16"/>
      <c r="AJ44" s="16"/>
      <c r="AK44" s="16"/>
      <c r="AL44" s="17"/>
      <c r="AS44" s="15" t="str">
        <f>IF('DANH SÁCH KHÁCH'!$C$55="","",'DANH SÁCH KHÁCH'!$C$55)</f>
        <v>Nguyễn Thị Việt Hằng</v>
      </c>
      <c r="AT44" s="16"/>
      <c r="AU44" s="16"/>
      <c r="AV44" s="16"/>
      <c r="AW44" s="17"/>
      <c r="AY44" s="15" t="str">
        <f>IF('DANH SÁCH KHÁCH'!$C$56="","",'DANH SÁCH KHÁCH'!$C$56)</f>
        <v>Phạm Thị Hồng Minh</v>
      </c>
      <c r="AZ44" s="16"/>
      <c r="BA44" s="16"/>
      <c r="BB44" s="16"/>
      <c r="BC44" s="17"/>
      <c r="BE44" s="15" t="str">
        <f>IF('DANH SÁCH KHÁCH'!$C$57="","",'DANH SÁCH KHÁCH'!$C$57)</f>
        <v>Đỗ Thị Thu Hằng</v>
      </c>
      <c r="BF44" s="16"/>
      <c r="BG44" s="16"/>
      <c r="BH44" s="16"/>
      <c r="BI44" s="17"/>
      <c r="BR44" s="15" t="str">
        <f>IF('DANH SÁCH KHÁCH'!$C$61="","",'DANH SÁCH KHÁCH'!$C$61)</f>
        <v>Quang Duy</v>
      </c>
      <c r="BS44" s="16"/>
      <c r="BT44" s="16"/>
      <c r="BU44" s="16"/>
      <c r="BV44" s="17"/>
      <c r="BX44" s="15" t="str">
        <f>IF('DANH SÁCH KHÁCH'!$C$62="","",'DANH SÁCH KHÁCH'!$C$62)</f>
        <v>Tiến Dũng</v>
      </c>
      <c r="BY44" s="16"/>
      <c r="BZ44" s="16"/>
      <c r="CA44" s="16"/>
      <c r="CB44" s="17"/>
      <c r="CD44" s="15" t="str">
        <f>IF('DANH SÁCH KHÁCH'!$C$63="","",'DANH SÁCH KHÁCH'!$C$63)</f>
        <v>Trần Thu Hằng</v>
      </c>
      <c r="CE44" s="16"/>
      <c r="CF44" s="16"/>
      <c r="CG44" s="16"/>
      <c r="CH44" s="17"/>
      <c r="CK44" s="27"/>
      <c r="CL44" s="19"/>
      <c r="CM44" s="19"/>
      <c r="CN44" s="19"/>
      <c r="CO44" s="19"/>
      <c r="CP44" s="19"/>
      <c r="CQ44" s="19"/>
      <c r="CR44" s="28"/>
    </row>
    <row r="45" spans="1:96" ht="17.25" customHeight="1" x14ac:dyDescent="0.25">
      <c r="A45" s="27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8"/>
      <c r="M45" s="27"/>
      <c r="N45" s="19"/>
      <c r="O45" s="19"/>
      <c r="P45" s="19"/>
      <c r="Q45" s="19"/>
      <c r="R45" s="28"/>
      <c r="V45" s="18"/>
      <c r="W45" s="19"/>
      <c r="X45" s="19"/>
      <c r="Y45" s="19"/>
      <c r="Z45" s="20"/>
      <c r="AB45" s="18"/>
      <c r="AC45" s="19"/>
      <c r="AD45" s="19"/>
      <c r="AE45" s="19"/>
      <c r="AF45" s="20"/>
      <c r="AH45" s="18"/>
      <c r="AI45" s="19"/>
      <c r="AJ45" s="19"/>
      <c r="AK45" s="19"/>
      <c r="AL45" s="20"/>
      <c r="AS45" s="18"/>
      <c r="AT45" s="19"/>
      <c r="AU45" s="19"/>
      <c r="AV45" s="19"/>
      <c r="AW45" s="20"/>
      <c r="AY45" s="18"/>
      <c r="AZ45" s="19"/>
      <c r="BA45" s="19"/>
      <c r="BB45" s="19"/>
      <c r="BC45" s="20"/>
      <c r="BE45" s="18"/>
      <c r="BF45" s="19"/>
      <c r="BG45" s="19"/>
      <c r="BH45" s="19"/>
      <c r="BI45" s="20"/>
      <c r="BR45" s="18"/>
      <c r="BS45" s="19"/>
      <c r="BT45" s="19"/>
      <c r="BU45" s="19"/>
      <c r="BV45" s="20"/>
      <c r="BX45" s="18"/>
      <c r="BY45" s="19"/>
      <c r="BZ45" s="19"/>
      <c r="CA45" s="19"/>
      <c r="CB45" s="20"/>
      <c r="CD45" s="18"/>
      <c r="CE45" s="19"/>
      <c r="CF45" s="19"/>
      <c r="CG45" s="19"/>
      <c r="CH45" s="20"/>
      <c r="CK45" s="27"/>
      <c r="CL45" s="19"/>
      <c r="CM45" s="19"/>
      <c r="CN45" s="19"/>
      <c r="CO45" s="19"/>
      <c r="CP45" s="19"/>
      <c r="CQ45" s="19"/>
      <c r="CR45" s="28"/>
    </row>
    <row r="46" spans="1:96" ht="17.25" customHeight="1" x14ac:dyDescent="0.25">
      <c r="A46" s="27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8"/>
      <c r="M46" s="27"/>
      <c r="N46" s="19"/>
      <c r="O46" s="19"/>
      <c r="P46" s="19"/>
      <c r="Q46" s="19"/>
      <c r="R46" s="28"/>
      <c r="V46" s="21"/>
      <c r="W46" s="22"/>
      <c r="X46" s="22"/>
      <c r="Y46" s="22"/>
      <c r="Z46" s="23"/>
      <c r="AB46" s="21"/>
      <c r="AC46" s="22"/>
      <c r="AD46" s="22"/>
      <c r="AE46" s="22"/>
      <c r="AF46" s="23"/>
      <c r="AH46" s="21"/>
      <c r="AI46" s="22"/>
      <c r="AJ46" s="22"/>
      <c r="AK46" s="22"/>
      <c r="AL46" s="23"/>
      <c r="AS46" s="21"/>
      <c r="AT46" s="22"/>
      <c r="AU46" s="22"/>
      <c r="AV46" s="22"/>
      <c r="AW46" s="23"/>
      <c r="AY46" s="21"/>
      <c r="AZ46" s="22"/>
      <c r="BA46" s="22"/>
      <c r="BB46" s="22"/>
      <c r="BC46" s="23"/>
      <c r="BE46" s="21"/>
      <c r="BF46" s="22"/>
      <c r="BG46" s="22"/>
      <c r="BH46" s="22"/>
      <c r="BI46" s="23"/>
      <c r="BR46" s="21"/>
      <c r="BS46" s="22"/>
      <c r="BT46" s="22"/>
      <c r="BU46" s="22"/>
      <c r="BV46" s="23"/>
      <c r="BX46" s="21"/>
      <c r="BY46" s="22"/>
      <c r="BZ46" s="22"/>
      <c r="CA46" s="22"/>
      <c r="CB46" s="23"/>
      <c r="CD46" s="21"/>
      <c r="CE46" s="22"/>
      <c r="CF46" s="22"/>
      <c r="CG46" s="22"/>
      <c r="CH46" s="23"/>
      <c r="CK46" s="27"/>
      <c r="CL46" s="19"/>
      <c r="CM46" s="19"/>
      <c r="CN46" s="19"/>
      <c r="CO46" s="19"/>
      <c r="CP46" s="19"/>
      <c r="CQ46" s="19"/>
      <c r="CR46" s="28"/>
    </row>
    <row r="47" spans="1:96" ht="3" customHeight="1" x14ac:dyDescent="0.25">
      <c r="A47" s="27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8"/>
      <c r="M47" s="27"/>
      <c r="N47" s="19"/>
      <c r="O47" s="19"/>
      <c r="P47" s="19"/>
      <c r="Q47" s="19"/>
      <c r="R47" s="28"/>
      <c r="CK47" s="27"/>
      <c r="CL47" s="19"/>
      <c r="CM47" s="19"/>
      <c r="CN47" s="19"/>
      <c r="CO47" s="19"/>
      <c r="CP47" s="19"/>
      <c r="CQ47" s="19"/>
      <c r="CR47" s="28"/>
    </row>
    <row r="48" spans="1:96" ht="17.25" customHeight="1" x14ac:dyDescent="0.25">
      <c r="A48" s="27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8"/>
      <c r="M48" s="27"/>
      <c r="N48" s="19"/>
      <c r="O48" s="19"/>
      <c r="P48" s="19"/>
      <c r="Q48" s="19"/>
      <c r="R48" s="28"/>
      <c r="V48" s="36" t="s">
        <v>43</v>
      </c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8"/>
      <c r="AS48" s="36" t="s">
        <v>43</v>
      </c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8"/>
      <c r="BR48" s="36" t="s">
        <v>43</v>
      </c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8"/>
      <c r="CK48" s="27"/>
      <c r="CL48" s="19"/>
      <c r="CM48" s="19"/>
      <c r="CN48" s="19"/>
      <c r="CO48" s="19"/>
      <c r="CP48" s="19"/>
      <c r="CQ48" s="19"/>
      <c r="CR48" s="28"/>
    </row>
    <row r="49" spans="1:96" ht="17.25" customHeight="1" x14ac:dyDescent="0.25">
      <c r="A49" s="27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8"/>
      <c r="M49" s="27"/>
      <c r="N49" s="19"/>
      <c r="O49" s="19"/>
      <c r="P49" s="19"/>
      <c r="Q49" s="19"/>
      <c r="R49" s="28"/>
      <c r="V49" s="3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40"/>
      <c r="AS49" s="3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40"/>
      <c r="BR49" s="3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40"/>
      <c r="CK49" s="27"/>
      <c r="CL49" s="19"/>
      <c r="CM49" s="19"/>
      <c r="CN49" s="19"/>
      <c r="CO49" s="19"/>
      <c r="CP49" s="19"/>
      <c r="CQ49" s="19"/>
      <c r="CR49" s="28"/>
    </row>
    <row r="50" spans="1:96" ht="17.25" customHeight="1" x14ac:dyDescent="0.25">
      <c r="A50" s="27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8"/>
      <c r="M50" s="27"/>
      <c r="N50" s="19"/>
      <c r="O50" s="19"/>
      <c r="P50" s="19"/>
      <c r="Q50" s="19"/>
      <c r="R50" s="28"/>
      <c r="V50" s="41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3"/>
      <c r="AS50" s="41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3"/>
      <c r="BR50" s="41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3"/>
      <c r="CK50" s="27"/>
      <c r="CL50" s="19"/>
      <c r="CM50" s="19"/>
      <c r="CN50" s="19"/>
      <c r="CO50" s="19"/>
      <c r="CP50" s="19"/>
      <c r="CQ50" s="19"/>
      <c r="CR50" s="28"/>
    </row>
    <row r="51" spans="1:96" ht="17.25" customHeight="1" x14ac:dyDescent="0.25">
      <c r="A51" s="27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8"/>
      <c r="M51" s="27"/>
      <c r="N51" s="19"/>
      <c r="O51" s="19"/>
      <c r="P51" s="19"/>
      <c r="Q51" s="19"/>
      <c r="R51" s="28"/>
      <c r="V51" s="12" t="s">
        <v>64</v>
      </c>
      <c r="W51" s="13"/>
      <c r="X51" s="13"/>
      <c r="Y51" s="13"/>
      <c r="Z51" s="14"/>
      <c r="AB51" s="12" t="s">
        <v>65</v>
      </c>
      <c r="AC51" s="13"/>
      <c r="AD51" s="13"/>
      <c r="AE51" s="13"/>
      <c r="AF51" s="14"/>
      <c r="AH51" s="12" t="s">
        <v>66</v>
      </c>
      <c r="AI51" s="13"/>
      <c r="AJ51" s="13"/>
      <c r="AK51" s="13"/>
      <c r="AL51" s="14"/>
      <c r="AS51" s="12" t="s">
        <v>67</v>
      </c>
      <c r="AT51" s="13"/>
      <c r="AU51" s="13"/>
      <c r="AV51" s="13"/>
      <c r="AW51" s="14"/>
      <c r="AY51" s="12" t="s">
        <v>68</v>
      </c>
      <c r="AZ51" s="13"/>
      <c r="BA51" s="13"/>
      <c r="BB51" s="13"/>
      <c r="BC51" s="14"/>
      <c r="BE51" s="12" t="s">
        <v>69</v>
      </c>
      <c r="BF51" s="13"/>
      <c r="BG51" s="13"/>
      <c r="BH51" s="13"/>
      <c r="BI51" s="14"/>
      <c r="BR51" s="12" t="s">
        <v>70</v>
      </c>
      <c r="BS51" s="13"/>
      <c r="BT51" s="13"/>
      <c r="BU51" s="13"/>
      <c r="BV51" s="14"/>
      <c r="BX51" s="12" t="s">
        <v>71</v>
      </c>
      <c r="BY51" s="13"/>
      <c r="BZ51" s="13"/>
      <c r="CA51" s="13"/>
      <c r="CB51" s="14"/>
      <c r="CD51" s="12" t="s">
        <v>72</v>
      </c>
      <c r="CE51" s="13"/>
      <c r="CF51" s="13"/>
      <c r="CG51" s="13"/>
      <c r="CH51" s="14"/>
      <c r="CK51" s="27"/>
      <c r="CL51" s="19"/>
      <c r="CM51" s="19"/>
      <c r="CN51" s="19"/>
      <c r="CO51" s="19"/>
      <c r="CP51" s="19"/>
      <c r="CQ51" s="19"/>
      <c r="CR51" s="28"/>
    </row>
    <row r="52" spans="1:96" ht="17.25" customHeight="1" x14ac:dyDescent="0.25">
      <c r="A52" s="27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8"/>
      <c r="M52" s="27"/>
      <c r="N52" s="19"/>
      <c r="O52" s="19"/>
      <c r="P52" s="19"/>
      <c r="Q52" s="19"/>
      <c r="R52" s="28"/>
      <c r="V52" s="15" t="str">
        <f>IF('DANH SÁCH KHÁCH'!$C$54="","",'DANH SÁCH KHÁCH'!$C$54)</f>
        <v>Nguyễn Hương Mai</v>
      </c>
      <c r="W52" s="16"/>
      <c r="X52" s="16"/>
      <c r="Y52" s="16"/>
      <c r="Z52" s="17"/>
      <c r="AB52" s="15" t="str">
        <f>IF('DANH SÁCH KHÁCH'!$C$53="","",'DANH SÁCH KHÁCH'!$C$53)</f>
        <v>Dương Hải Vũ</v>
      </c>
      <c r="AC52" s="16"/>
      <c r="AD52" s="16"/>
      <c r="AE52" s="16"/>
      <c r="AF52" s="17"/>
      <c r="AH52" s="15" t="str">
        <f>IF('DANH SÁCH KHÁCH'!$C$52="","",'DANH SÁCH KHÁCH'!$C$52)</f>
        <v>Nguyễn Thị Thúy Nga</v>
      </c>
      <c r="AI52" s="16"/>
      <c r="AJ52" s="16"/>
      <c r="AK52" s="16"/>
      <c r="AL52" s="17"/>
      <c r="AS52" s="15" t="str">
        <f>IF('DANH SÁCH KHÁCH'!$C$60="","",'DANH SÁCH KHÁCH'!$C$60)</f>
        <v>PB</v>
      </c>
      <c r="AT52" s="16"/>
      <c r="AU52" s="16"/>
      <c r="AV52" s="16"/>
      <c r="AW52" s="17"/>
      <c r="AY52" s="58" t="str">
        <f>IF('DANH SÁCH KHÁCH'!$C$59="","",'DANH SÁCH KHÁCH'!$C$59)</f>
        <v>TB</v>
      </c>
      <c r="AZ52" s="59"/>
      <c r="BA52" s="59"/>
      <c r="BB52" s="59"/>
      <c r="BC52" s="60"/>
      <c r="BE52" s="15" t="str">
        <f>IF('DANH SÁCH KHÁCH'!$C$58="","",'DANH SÁCH KHÁCH'!$C$58)</f>
        <v>PB</v>
      </c>
      <c r="BF52" s="16"/>
      <c r="BG52" s="16"/>
      <c r="BH52" s="16"/>
      <c r="BI52" s="17"/>
      <c r="BR52" s="15" t="str">
        <f>IF('DANH SÁCH KHÁCH'!$C$66="","",'DANH SÁCH KHÁCH'!$C$66)</f>
        <v>Đinh Hồng Quang</v>
      </c>
      <c r="BS52" s="16"/>
      <c r="BT52" s="16"/>
      <c r="BU52" s="16"/>
      <c r="BV52" s="17"/>
      <c r="BX52" s="15" t="str">
        <f>IF('DANH SÁCH KHÁCH'!$C$65="","",'DANH SÁCH KHÁCH'!$C$65)</f>
        <v>Cao Thanh Hoa</v>
      </c>
      <c r="BY52" s="16"/>
      <c r="BZ52" s="16"/>
      <c r="CA52" s="16"/>
      <c r="CB52" s="17"/>
      <c r="CD52" s="15" t="str">
        <f>IF('DANH SÁCH KHÁCH'!$C$64="","",'DANH SÁCH KHÁCH'!$C$64)</f>
        <v>Lý Vĩnh Hưng</v>
      </c>
      <c r="CE52" s="16"/>
      <c r="CF52" s="16"/>
      <c r="CG52" s="16"/>
      <c r="CH52" s="17"/>
      <c r="CK52" s="27"/>
      <c r="CL52" s="19"/>
      <c r="CM52" s="19"/>
      <c r="CN52" s="19"/>
      <c r="CO52" s="19"/>
      <c r="CP52" s="19"/>
      <c r="CQ52" s="19"/>
      <c r="CR52" s="28"/>
    </row>
    <row r="53" spans="1:96" ht="17.25" customHeight="1" x14ac:dyDescent="0.25">
      <c r="A53" s="27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8"/>
      <c r="M53" s="27"/>
      <c r="N53" s="19"/>
      <c r="O53" s="19"/>
      <c r="P53" s="19"/>
      <c r="Q53" s="19"/>
      <c r="R53" s="28"/>
      <c r="V53" s="18"/>
      <c r="W53" s="19"/>
      <c r="X53" s="19"/>
      <c r="Y53" s="19"/>
      <c r="Z53" s="20"/>
      <c r="AB53" s="18"/>
      <c r="AC53" s="19"/>
      <c r="AD53" s="19"/>
      <c r="AE53" s="19"/>
      <c r="AF53" s="20"/>
      <c r="AH53" s="18"/>
      <c r="AI53" s="19"/>
      <c r="AJ53" s="19"/>
      <c r="AK53" s="19"/>
      <c r="AL53" s="20"/>
      <c r="AS53" s="18"/>
      <c r="AT53" s="19"/>
      <c r="AU53" s="19"/>
      <c r="AV53" s="19"/>
      <c r="AW53" s="20"/>
      <c r="AY53" s="61"/>
      <c r="AZ53" s="62"/>
      <c r="BA53" s="62"/>
      <c r="BB53" s="62"/>
      <c r="BC53" s="63"/>
      <c r="BE53" s="18"/>
      <c r="BF53" s="19"/>
      <c r="BG53" s="19"/>
      <c r="BH53" s="19"/>
      <c r="BI53" s="20"/>
      <c r="BR53" s="18"/>
      <c r="BS53" s="19"/>
      <c r="BT53" s="19"/>
      <c r="BU53" s="19"/>
      <c r="BV53" s="20"/>
      <c r="BX53" s="18"/>
      <c r="BY53" s="19"/>
      <c r="BZ53" s="19"/>
      <c r="CA53" s="19"/>
      <c r="CB53" s="20"/>
      <c r="CD53" s="18"/>
      <c r="CE53" s="19"/>
      <c r="CF53" s="19"/>
      <c r="CG53" s="19"/>
      <c r="CH53" s="20"/>
      <c r="CK53" s="27"/>
      <c r="CL53" s="19"/>
      <c r="CM53" s="19"/>
      <c r="CN53" s="19"/>
      <c r="CO53" s="19"/>
      <c r="CP53" s="19"/>
      <c r="CQ53" s="19"/>
      <c r="CR53" s="28"/>
    </row>
    <row r="54" spans="1:96" ht="17.25" customHeight="1" x14ac:dyDescent="0.25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1"/>
      <c r="V54" s="21"/>
      <c r="W54" s="22"/>
      <c r="X54" s="22"/>
      <c r="Y54" s="22"/>
      <c r="Z54" s="23"/>
      <c r="AB54" s="21"/>
      <c r="AC54" s="22"/>
      <c r="AD54" s="22"/>
      <c r="AE54" s="22"/>
      <c r="AF54" s="23"/>
      <c r="AH54" s="21"/>
      <c r="AI54" s="22"/>
      <c r="AJ54" s="22"/>
      <c r="AK54" s="22"/>
      <c r="AL54" s="23"/>
      <c r="AS54" s="21"/>
      <c r="AT54" s="22"/>
      <c r="AU54" s="22"/>
      <c r="AV54" s="22"/>
      <c r="AW54" s="23"/>
      <c r="AY54" s="64"/>
      <c r="AZ54" s="65"/>
      <c r="BA54" s="65"/>
      <c r="BB54" s="65"/>
      <c r="BC54" s="66"/>
      <c r="BE54" s="21"/>
      <c r="BF54" s="22"/>
      <c r="BG54" s="22"/>
      <c r="BH54" s="22"/>
      <c r="BI54" s="23"/>
      <c r="BR54" s="21"/>
      <c r="BS54" s="22"/>
      <c r="BT54" s="22"/>
      <c r="BU54" s="22"/>
      <c r="BV54" s="23"/>
      <c r="BX54" s="21"/>
      <c r="BY54" s="22"/>
      <c r="BZ54" s="22"/>
      <c r="CA54" s="22"/>
      <c r="CB54" s="23"/>
      <c r="CD54" s="21"/>
      <c r="CE54" s="22"/>
      <c r="CF54" s="22"/>
      <c r="CG54" s="22"/>
      <c r="CH54" s="23"/>
      <c r="CK54" s="27"/>
      <c r="CL54" s="19"/>
      <c r="CM54" s="19"/>
      <c r="CN54" s="19"/>
      <c r="CO54" s="19"/>
      <c r="CP54" s="19"/>
      <c r="CQ54" s="19"/>
      <c r="CR54" s="28"/>
    </row>
    <row r="55" spans="1:96" ht="17.25" customHeight="1" x14ac:dyDescent="0.25">
      <c r="A55" s="51" t="s">
        <v>73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6"/>
      <c r="S55" s="44" t="s">
        <v>74</v>
      </c>
      <c r="T55" s="25"/>
      <c r="U55" s="25"/>
      <c r="V55" s="25"/>
      <c r="W55" s="25"/>
      <c r="X55" s="25"/>
      <c r="Y55" s="26"/>
      <c r="Z55" s="33" t="s">
        <v>75</v>
      </c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6"/>
      <c r="CD55" s="44" t="s">
        <v>76</v>
      </c>
      <c r="CE55" s="25"/>
      <c r="CF55" s="25"/>
      <c r="CG55" s="25"/>
      <c r="CH55" s="25"/>
      <c r="CI55" s="25"/>
      <c r="CJ55" s="26"/>
      <c r="CK55" s="27"/>
      <c r="CL55" s="19"/>
      <c r="CM55" s="19"/>
      <c r="CN55" s="19"/>
      <c r="CO55" s="19"/>
      <c r="CP55" s="19"/>
      <c r="CQ55" s="19"/>
      <c r="CR55" s="28"/>
    </row>
    <row r="56" spans="1:96" ht="17.25" customHeight="1" x14ac:dyDescent="0.25">
      <c r="A56" s="27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28"/>
      <c r="S56" s="27"/>
      <c r="T56" s="19"/>
      <c r="U56" s="19"/>
      <c r="V56" s="19"/>
      <c r="W56" s="19"/>
      <c r="X56" s="19"/>
      <c r="Y56" s="28"/>
      <c r="Z56" s="27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28"/>
      <c r="CD56" s="27"/>
      <c r="CE56" s="19"/>
      <c r="CF56" s="19"/>
      <c r="CG56" s="19"/>
      <c r="CH56" s="19"/>
      <c r="CI56" s="19"/>
      <c r="CJ56" s="28"/>
      <c r="CK56" s="27"/>
      <c r="CL56" s="19"/>
      <c r="CM56" s="19"/>
      <c r="CN56" s="19"/>
      <c r="CO56" s="19"/>
      <c r="CP56" s="19"/>
      <c r="CQ56" s="19"/>
      <c r="CR56" s="28"/>
    </row>
    <row r="57" spans="1:96" ht="17.25" customHeight="1" x14ac:dyDescent="0.25">
      <c r="A57" s="27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28"/>
      <c r="S57" s="27"/>
      <c r="T57" s="19"/>
      <c r="U57" s="19"/>
      <c r="V57" s="19"/>
      <c r="W57" s="19"/>
      <c r="X57" s="19"/>
      <c r="Y57" s="28"/>
      <c r="Z57" s="27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28"/>
      <c r="CD57" s="27"/>
      <c r="CE57" s="19"/>
      <c r="CF57" s="19"/>
      <c r="CG57" s="19"/>
      <c r="CH57" s="19"/>
      <c r="CI57" s="19"/>
      <c r="CJ57" s="28"/>
      <c r="CK57" s="27"/>
      <c r="CL57" s="19"/>
      <c r="CM57" s="19"/>
      <c r="CN57" s="19"/>
      <c r="CO57" s="19"/>
      <c r="CP57" s="19"/>
      <c r="CQ57" s="19"/>
      <c r="CR57" s="28"/>
    </row>
    <row r="58" spans="1:96" ht="17.25" customHeight="1" x14ac:dyDescent="0.25">
      <c r="A58" s="27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28"/>
      <c r="S58" s="27"/>
      <c r="T58" s="19"/>
      <c r="U58" s="19"/>
      <c r="V58" s="19"/>
      <c r="W58" s="19"/>
      <c r="X58" s="19"/>
      <c r="Y58" s="28"/>
      <c r="Z58" s="27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28"/>
      <c r="CD58" s="27"/>
      <c r="CE58" s="19"/>
      <c r="CF58" s="19"/>
      <c r="CG58" s="19"/>
      <c r="CH58" s="19"/>
      <c r="CI58" s="19"/>
      <c r="CJ58" s="28"/>
      <c r="CK58" s="27"/>
      <c r="CL58" s="19"/>
      <c r="CM58" s="19"/>
      <c r="CN58" s="19"/>
      <c r="CO58" s="19"/>
      <c r="CP58" s="19"/>
      <c r="CQ58" s="19"/>
      <c r="CR58" s="28"/>
    </row>
    <row r="59" spans="1:96" ht="17.25" customHeight="1" x14ac:dyDescent="0.25">
      <c r="A59" s="2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28"/>
      <c r="S59" s="27"/>
      <c r="T59" s="19"/>
      <c r="U59" s="19"/>
      <c r="V59" s="19"/>
      <c r="W59" s="19"/>
      <c r="X59" s="19"/>
      <c r="Y59" s="28"/>
      <c r="Z59" s="27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28"/>
      <c r="CD59" s="27"/>
      <c r="CE59" s="19"/>
      <c r="CF59" s="19"/>
      <c r="CG59" s="19"/>
      <c r="CH59" s="19"/>
      <c r="CI59" s="19"/>
      <c r="CJ59" s="28"/>
      <c r="CK59" s="27"/>
      <c r="CL59" s="19"/>
      <c r="CM59" s="19"/>
      <c r="CN59" s="19"/>
      <c r="CO59" s="19"/>
      <c r="CP59" s="19"/>
      <c r="CQ59" s="19"/>
      <c r="CR59" s="28"/>
    </row>
    <row r="60" spans="1:96" ht="17.25" customHeight="1" x14ac:dyDescent="0.25">
      <c r="A60" s="27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28"/>
      <c r="S60" s="27"/>
      <c r="T60" s="19"/>
      <c r="U60" s="19"/>
      <c r="V60" s="19"/>
      <c r="W60" s="19"/>
      <c r="X60" s="19"/>
      <c r="Y60" s="28"/>
      <c r="Z60" s="27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28"/>
      <c r="CD60" s="27"/>
      <c r="CE60" s="19"/>
      <c r="CF60" s="19"/>
      <c r="CG60" s="19"/>
      <c r="CH60" s="19"/>
      <c r="CI60" s="19"/>
      <c r="CJ60" s="28"/>
      <c r="CK60" s="27"/>
      <c r="CL60" s="19"/>
      <c r="CM60" s="19"/>
      <c r="CN60" s="19"/>
      <c r="CO60" s="19"/>
      <c r="CP60" s="19"/>
      <c r="CQ60" s="19"/>
      <c r="CR60" s="28"/>
    </row>
    <row r="61" spans="1:96" ht="17.25" customHeight="1" x14ac:dyDescent="0.25">
      <c r="A61" s="29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1"/>
      <c r="S61" s="29"/>
      <c r="T61" s="30"/>
      <c r="U61" s="30"/>
      <c r="V61" s="30"/>
      <c r="W61" s="30"/>
      <c r="X61" s="30"/>
      <c r="Y61" s="31"/>
      <c r="Z61" s="29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1"/>
      <c r="CD61" s="29"/>
      <c r="CE61" s="30"/>
      <c r="CF61" s="30"/>
      <c r="CG61" s="30"/>
      <c r="CH61" s="30"/>
      <c r="CI61" s="30"/>
      <c r="CJ61" s="31"/>
      <c r="CK61" s="29"/>
      <c r="CL61" s="30"/>
      <c r="CM61" s="30"/>
      <c r="CN61" s="30"/>
      <c r="CO61" s="30"/>
      <c r="CP61" s="30"/>
      <c r="CQ61" s="30"/>
      <c r="CR61" s="31"/>
    </row>
    <row r="62" spans="1:96" ht="17.25" customHeight="1" x14ac:dyDescent="0.25"/>
    <row r="63" spans="1:96" ht="17.25" customHeight="1" x14ac:dyDescent="0.25">
      <c r="A63" s="50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6"/>
    </row>
    <row r="64" spans="1:96" ht="17.25" customHeight="1" x14ac:dyDescent="0.25">
      <c r="A64" s="29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1"/>
    </row>
    <row r="65" spans="1:96" ht="17.25" customHeight="1" x14ac:dyDescent="0.25">
      <c r="A65" s="4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6"/>
    </row>
    <row r="66" spans="1:96" ht="17.25" customHeight="1" x14ac:dyDescent="0.25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1"/>
    </row>
  </sheetData>
  <mergeCells count="140">
    <mergeCell ref="Z55:CC61"/>
    <mergeCell ref="BZ39:CC41"/>
    <mergeCell ref="M18:R28"/>
    <mergeCell ref="BH39:BM41"/>
    <mergeCell ref="CD52:CH54"/>
    <mergeCell ref="BY17:CB17"/>
    <mergeCell ref="CK8:CR61"/>
    <mergeCell ref="BR39:BU41"/>
    <mergeCell ref="AP39:AU41"/>
    <mergeCell ref="A18:L54"/>
    <mergeCell ref="W29:AA29"/>
    <mergeCell ref="W39:AA41"/>
    <mergeCell ref="A5:CR7"/>
    <mergeCell ref="AI39:AM41"/>
    <mergeCell ref="AI38:AM38"/>
    <mergeCell ref="BR38:BU38"/>
    <mergeCell ref="A65:CR66"/>
    <mergeCell ref="BJ18:BM20"/>
    <mergeCell ref="CD51:CH51"/>
    <mergeCell ref="AB44:AF46"/>
    <mergeCell ref="BR48:CI50"/>
    <mergeCell ref="AI17:AL17"/>
    <mergeCell ref="BX51:CB51"/>
    <mergeCell ref="AY43:BC43"/>
    <mergeCell ref="AP34:BM36"/>
    <mergeCell ref="BR52:BV54"/>
    <mergeCell ref="BR30:BU32"/>
    <mergeCell ref="BR29:BU29"/>
    <mergeCell ref="BE44:BI46"/>
    <mergeCell ref="CD29:CG29"/>
    <mergeCell ref="AH44:AL46"/>
    <mergeCell ref="A63:CR64"/>
    <mergeCell ref="A55:R61"/>
    <mergeCell ref="CD30:CG32"/>
    <mergeCell ref="BV30:BY32"/>
    <mergeCell ref="BV29:BY29"/>
    <mergeCell ref="CD44:CH46"/>
    <mergeCell ref="AS48:BJ50"/>
    <mergeCell ref="AP24:AS24"/>
    <mergeCell ref="AY52:BC54"/>
    <mergeCell ref="BZ38:CC38"/>
    <mergeCell ref="V51:Z51"/>
    <mergeCell ref="AS52:AW54"/>
    <mergeCell ref="AH51:AL51"/>
    <mergeCell ref="W34:AL36"/>
    <mergeCell ref="BH30:BM32"/>
    <mergeCell ref="BE25:BH27"/>
    <mergeCell ref="AY44:BC46"/>
    <mergeCell ref="BE43:BI43"/>
    <mergeCell ref="CD55:CJ61"/>
    <mergeCell ref="AD21:AL23"/>
    <mergeCell ref="AU24:AX24"/>
    <mergeCell ref="BE52:BI54"/>
    <mergeCell ref="AP21:AX23"/>
    <mergeCell ref="BJ17:BM17"/>
    <mergeCell ref="W38:AA38"/>
    <mergeCell ref="AD25:AG27"/>
    <mergeCell ref="A4:CR4"/>
    <mergeCell ref="BT17:BW17"/>
    <mergeCell ref="V48:AM50"/>
    <mergeCell ref="BX43:CB43"/>
    <mergeCell ref="BY24:CB24"/>
    <mergeCell ref="BT21:CB23"/>
    <mergeCell ref="AI18:AL20"/>
    <mergeCell ref="V44:Z46"/>
    <mergeCell ref="BR34:CG36"/>
    <mergeCell ref="AU18:AX20"/>
    <mergeCell ref="AU17:AX17"/>
    <mergeCell ref="AS43:AW43"/>
    <mergeCell ref="S55:Y61"/>
    <mergeCell ref="A8:R17"/>
    <mergeCell ref="AD24:AG24"/>
    <mergeCell ref="AP30:AU32"/>
    <mergeCell ref="V52:Z54"/>
    <mergeCell ref="BX52:CB54"/>
    <mergeCell ref="AH52:AL54"/>
    <mergeCell ref="AS51:AW51"/>
    <mergeCell ref="Z8:CJ13"/>
    <mergeCell ref="BJ24:BM24"/>
    <mergeCell ref="BR44:BV46"/>
    <mergeCell ref="BH29:BM29"/>
    <mergeCell ref="BE51:BI51"/>
    <mergeCell ref="BH38:BM38"/>
    <mergeCell ref="BE21:BM23"/>
    <mergeCell ref="AH43:AL43"/>
    <mergeCell ref="BR43:BV43"/>
    <mergeCell ref="AD17:AG17"/>
    <mergeCell ref="BX44:CB46"/>
    <mergeCell ref="AV30:BA32"/>
    <mergeCell ref="AI30:AM32"/>
    <mergeCell ref="BY25:CB27"/>
    <mergeCell ref="AB43:AF43"/>
    <mergeCell ref="AP18:AS20"/>
    <mergeCell ref="AC29:AG29"/>
    <mergeCell ref="AC38:AG38"/>
    <mergeCell ref="AI24:AL24"/>
    <mergeCell ref="Z14:CJ16"/>
    <mergeCell ref="A1:CR3"/>
    <mergeCell ref="AP25:AS27"/>
    <mergeCell ref="CD43:CH43"/>
    <mergeCell ref="AS44:AW46"/>
    <mergeCell ref="S8:Y17"/>
    <mergeCell ref="BE24:BH24"/>
    <mergeCell ref="AC30:AG32"/>
    <mergeCell ref="AC39:AG41"/>
    <mergeCell ref="AB52:AF54"/>
    <mergeCell ref="AY51:BC51"/>
    <mergeCell ref="BJ25:BM27"/>
    <mergeCell ref="M43:R54"/>
    <mergeCell ref="M29:R42"/>
    <mergeCell ref="AI25:AL27"/>
    <mergeCell ref="BT25:BW27"/>
    <mergeCell ref="BT18:BW20"/>
    <mergeCell ref="BZ30:CC32"/>
    <mergeCell ref="BZ29:CC29"/>
    <mergeCell ref="AP29:AU29"/>
    <mergeCell ref="AP38:AU38"/>
    <mergeCell ref="CD38:CG38"/>
    <mergeCell ref="BE17:BH17"/>
    <mergeCell ref="BB29:BG29"/>
    <mergeCell ref="CD39:CG41"/>
    <mergeCell ref="V43:Z43"/>
    <mergeCell ref="BB30:BG32"/>
    <mergeCell ref="BV38:BY38"/>
    <mergeCell ref="BB38:BG38"/>
    <mergeCell ref="AV29:BA29"/>
    <mergeCell ref="AI29:AM29"/>
    <mergeCell ref="AB51:AF51"/>
    <mergeCell ref="AV38:BA38"/>
    <mergeCell ref="AP17:AS17"/>
    <mergeCell ref="AV39:BA41"/>
    <mergeCell ref="BT24:BW24"/>
    <mergeCell ref="BR51:BV51"/>
    <mergeCell ref="W30:AA32"/>
    <mergeCell ref="AD18:AG20"/>
    <mergeCell ref="BV39:BY41"/>
    <mergeCell ref="AU25:AX27"/>
    <mergeCell ref="BB39:BG41"/>
    <mergeCell ref="BY18:CB20"/>
    <mergeCell ref="BE18:BH20"/>
  </mergeCells>
  <conditionalFormatting sqref="V44:Z46">
    <cfRule type="expression" dxfId="44" priority="39">
      <formula>LEN(V44)&gt;0</formula>
    </cfRule>
  </conditionalFormatting>
  <conditionalFormatting sqref="V52:Z54">
    <cfRule type="expression" dxfId="43" priority="42">
      <formula>LEN(V52)&gt;0</formula>
    </cfRule>
  </conditionalFormatting>
  <conditionalFormatting sqref="W30:AA32">
    <cfRule type="expression" dxfId="42" priority="33">
      <formula>LEN(W30)&gt;0</formula>
    </cfRule>
  </conditionalFormatting>
  <conditionalFormatting sqref="W39:AA41">
    <cfRule type="expression" dxfId="41" priority="36">
      <formula>LEN(W39)&gt;0</formula>
    </cfRule>
  </conditionalFormatting>
  <conditionalFormatting sqref="AB44:AF46">
    <cfRule type="expression" dxfId="40" priority="40">
      <formula>LEN(AB44)&gt;0</formula>
    </cfRule>
  </conditionalFormatting>
  <conditionalFormatting sqref="AB52:AF54">
    <cfRule type="expression" dxfId="39" priority="43">
      <formula>LEN(AB52)&gt;0</formula>
    </cfRule>
  </conditionalFormatting>
  <conditionalFormatting sqref="AC30:AG32">
    <cfRule type="expression" dxfId="38" priority="34">
      <formula>LEN(AC30)&gt;0</formula>
    </cfRule>
  </conditionalFormatting>
  <conditionalFormatting sqref="AC39:AG41">
    <cfRule type="expression" dxfId="37" priority="37">
      <formula>LEN(AC39)&gt;0</formula>
    </cfRule>
  </conditionalFormatting>
  <conditionalFormatting sqref="AD18:AG20">
    <cfRule type="expression" dxfId="36" priority="1">
      <formula>LEN(AD18)&gt;0</formula>
    </cfRule>
  </conditionalFormatting>
  <conditionalFormatting sqref="AD25:AG27">
    <cfRule type="expression" dxfId="35" priority="9">
      <formula>LEN(AD25)&gt;0</formula>
    </cfRule>
  </conditionalFormatting>
  <conditionalFormatting sqref="AH44:AL46">
    <cfRule type="expression" dxfId="34" priority="41">
      <formula>LEN(AH44)&gt;0</formula>
    </cfRule>
  </conditionalFormatting>
  <conditionalFormatting sqref="AH52:AL54">
    <cfRule type="expression" dxfId="33" priority="44">
      <formula>LEN(AH52)&gt;0</formula>
    </cfRule>
  </conditionalFormatting>
  <conditionalFormatting sqref="AI18:AL20">
    <cfRule type="expression" dxfId="32" priority="2">
      <formula>LEN(AI18)&gt;0</formula>
    </cfRule>
  </conditionalFormatting>
  <conditionalFormatting sqref="AI25:AL27">
    <cfRule type="expression" dxfId="31" priority="10">
      <formula>LEN(AI25)&gt;0</formula>
    </cfRule>
  </conditionalFormatting>
  <conditionalFormatting sqref="AI30:AM32">
    <cfRule type="expression" dxfId="30" priority="35">
      <formula>LEN(AI30)&gt;0</formula>
    </cfRule>
  </conditionalFormatting>
  <conditionalFormatting sqref="AI39:AM41">
    <cfRule type="expression" dxfId="29" priority="38">
      <formula>LEN(AI39)&gt;0</formula>
    </cfRule>
  </conditionalFormatting>
  <conditionalFormatting sqref="AP18:AS20">
    <cfRule type="expression" dxfId="28" priority="3">
      <formula>LEN(AP18)&gt;0</formula>
    </cfRule>
  </conditionalFormatting>
  <conditionalFormatting sqref="AP25:AS27">
    <cfRule type="expression" dxfId="27" priority="11">
      <formula>LEN(AP25)&gt;0</formula>
    </cfRule>
  </conditionalFormatting>
  <conditionalFormatting sqref="AP30:BM32">
    <cfRule type="expression" dxfId="26" priority="17">
      <formula>LEN(AP30)&gt;0</formula>
    </cfRule>
  </conditionalFormatting>
  <conditionalFormatting sqref="AP39:BM41">
    <cfRule type="expression" dxfId="25" priority="21">
      <formula>LEN(AP39)&gt;0</formula>
    </cfRule>
  </conditionalFormatting>
  <conditionalFormatting sqref="AS44:AW46">
    <cfRule type="expression" dxfId="24" priority="45">
      <formula>LEN(AS44)&gt;0</formula>
    </cfRule>
  </conditionalFormatting>
  <conditionalFormatting sqref="AS52:AW54">
    <cfRule type="expression" dxfId="23" priority="48">
      <formula>LEN(AS52)&gt;0</formula>
    </cfRule>
  </conditionalFormatting>
  <conditionalFormatting sqref="AU18:AX20">
    <cfRule type="expression" dxfId="22" priority="4">
      <formula>LEN(AU18)&gt;0</formula>
    </cfRule>
  </conditionalFormatting>
  <conditionalFormatting sqref="AU25:AX27">
    <cfRule type="expression" dxfId="21" priority="12">
      <formula>LEN(AU25)&gt;0</formula>
    </cfRule>
  </conditionalFormatting>
  <conditionalFormatting sqref="AY44:BC46">
    <cfRule type="expression" dxfId="20" priority="46">
      <formula>LEN(AY44)&gt;0</formula>
    </cfRule>
  </conditionalFormatting>
  <conditionalFormatting sqref="AY52:BC54">
    <cfRule type="expression" dxfId="19" priority="49">
      <formula>LEN(AY52)&gt;0</formula>
    </cfRule>
  </conditionalFormatting>
  <conditionalFormatting sqref="BE18:BH20">
    <cfRule type="expression" dxfId="18" priority="5">
      <formula>LEN(BE18)&gt;0</formula>
    </cfRule>
  </conditionalFormatting>
  <conditionalFormatting sqref="BE25:BH27">
    <cfRule type="expression" dxfId="17" priority="13">
      <formula>LEN(BE25)&gt;0</formula>
    </cfRule>
  </conditionalFormatting>
  <conditionalFormatting sqref="BE44:BI46">
    <cfRule type="expression" dxfId="16" priority="47">
      <formula>LEN(BE44)&gt;0</formula>
    </cfRule>
  </conditionalFormatting>
  <conditionalFormatting sqref="BE52:BI54">
    <cfRule type="expression" dxfId="15" priority="50">
      <formula>LEN(BE52)&gt;0</formula>
    </cfRule>
  </conditionalFormatting>
  <conditionalFormatting sqref="BJ18:BM20">
    <cfRule type="expression" dxfId="14" priority="6">
      <formula>LEN(BJ18)&gt;0</formula>
    </cfRule>
  </conditionalFormatting>
  <conditionalFormatting sqref="BJ25:BM27">
    <cfRule type="expression" dxfId="13" priority="14">
      <formula>LEN(BJ25)&gt;0</formula>
    </cfRule>
  </conditionalFormatting>
  <conditionalFormatting sqref="BR44:BV46">
    <cfRule type="expression" dxfId="12" priority="51">
      <formula>LEN(BR44)&gt;0</formula>
    </cfRule>
  </conditionalFormatting>
  <conditionalFormatting sqref="BR52:BV54">
    <cfRule type="expression" dxfId="11" priority="54">
      <formula>LEN(BR52)&gt;0</formula>
    </cfRule>
  </conditionalFormatting>
  <conditionalFormatting sqref="BR30:CG32">
    <cfRule type="expression" dxfId="10" priority="25">
      <formula>LEN(BR30)&gt;0</formula>
    </cfRule>
  </conditionalFormatting>
  <conditionalFormatting sqref="BR39:CG41">
    <cfRule type="expression" dxfId="9" priority="29">
      <formula>LEN(BR39)&gt;0</formula>
    </cfRule>
  </conditionalFormatting>
  <conditionalFormatting sqref="BT18:BW20">
    <cfRule type="expression" dxfId="8" priority="7">
      <formula>LEN(BT18)&gt;0</formula>
    </cfRule>
  </conditionalFormatting>
  <conditionalFormatting sqref="BT25:BW27">
    <cfRule type="expression" dxfId="7" priority="15">
      <formula>LEN(BT25)&gt;0</formula>
    </cfRule>
  </conditionalFormatting>
  <conditionalFormatting sqref="BX44:CB46">
    <cfRule type="expression" dxfId="6" priority="52">
      <formula>LEN(BX44)&gt;0</formula>
    </cfRule>
  </conditionalFormatting>
  <conditionalFormatting sqref="BX52:CB54">
    <cfRule type="expression" dxfId="5" priority="55">
      <formula>LEN(BX52)&gt;0</formula>
    </cfRule>
  </conditionalFormatting>
  <conditionalFormatting sqref="BY18:CB20">
    <cfRule type="expression" dxfId="4" priority="8">
      <formula>LEN(BY18)&gt;0</formula>
    </cfRule>
  </conditionalFormatting>
  <conditionalFormatting sqref="BY25:CB27">
    <cfRule type="expression" dxfId="3" priority="16">
      <formula>LEN(BY25)&gt;0</formula>
    </cfRule>
  </conditionalFormatting>
  <conditionalFormatting sqref="CD44:CH46">
    <cfRule type="expression" dxfId="2" priority="53">
      <formula>LEN(CD44)&gt;0</formula>
    </cfRule>
  </conditionalFormatting>
  <conditionalFormatting sqref="CD52:CH54">
    <cfRule type="expression" dxfId="1" priority="56">
      <formula>LEN(CD52)&gt;0</formula>
    </cfRule>
  </conditionalFormatting>
  <printOptions horizontalCentered="1"/>
  <pageMargins left="0.15" right="0.15" top="0.22" bottom="0.22" header="0.1" footer="0.1"/>
  <pageSetup paperSize="8" orientation="landscape"/>
  <headerFooter>
    <oddFooter>&amp;CSƠ ĐỒ BÀN TIỆC – TRANG &amp;P / 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9"/>
  <sheetViews>
    <sheetView showGridLines="0" zoomScale="90" workbookViewId="0">
      <pane xSplit="2" ySplit="10" topLeftCell="C57" activePane="bottomRight" state="frozen"/>
      <selection pane="topRight"/>
      <selection pane="bottomLeft"/>
      <selection pane="bottomRight" activeCell="E70" sqref="E70"/>
    </sheetView>
  </sheetViews>
  <sheetFormatPr defaultRowHeight="15" x14ac:dyDescent="0.25"/>
  <cols>
    <col min="1" max="1" width="7" customWidth="1"/>
    <col min="2" max="2" width="11" customWidth="1"/>
    <col min="3" max="3" width="32" customWidth="1"/>
    <col min="4" max="4" width="26" customWidth="1"/>
    <col min="5" max="5" width="38" customWidth="1"/>
    <col min="6" max="6" width="39" customWidth="1"/>
    <col min="7" max="7" width="18" customWidth="1"/>
  </cols>
  <sheetData>
    <row r="1" spans="1:7" ht="27" customHeight="1" x14ac:dyDescent="0.25">
      <c r="A1" s="55" t="s">
        <v>77</v>
      </c>
      <c r="B1" s="25"/>
      <c r="C1" s="25"/>
      <c r="D1" s="25"/>
      <c r="E1" s="25"/>
      <c r="F1" s="25"/>
      <c r="G1" s="26"/>
    </row>
    <row r="2" spans="1:7" ht="27" customHeight="1" x14ac:dyDescent="0.25">
      <c r="A2" s="29"/>
      <c r="B2" s="30"/>
      <c r="C2" s="30"/>
      <c r="D2" s="30"/>
      <c r="E2" s="30"/>
      <c r="F2" s="30"/>
      <c r="G2" s="31"/>
    </row>
    <row r="3" spans="1:7" ht="24.95" customHeight="1" x14ac:dyDescent="0.25">
      <c r="A3" s="56" t="s">
        <v>78</v>
      </c>
      <c r="B3" s="25"/>
      <c r="C3" s="25"/>
      <c r="D3" s="25"/>
      <c r="E3" s="25"/>
      <c r="F3" s="25"/>
      <c r="G3" s="26"/>
    </row>
    <row r="4" spans="1:7" ht="24.95" customHeight="1" x14ac:dyDescent="0.25">
      <c r="A4" s="29"/>
      <c r="B4" s="30"/>
      <c r="C4" s="30"/>
      <c r="D4" s="30"/>
      <c r="E4" s="30"/>
      <c r="F4" s="30"/>
      <c r="G4" s="31"/>
    </row>
    <row r="5" spans="1:7" ht="24.95" customHeight="1" x14ac:dyDescent="0.25"/>
    <row r="6" spans="1:7" ht="24.95" customHeight="1" x14ac:dyDescent="0.25">
      <c r="A6" s="53" t="s">
        <v>79</v>
      </c>
      <c r="B6" s="47"/>
      <c r="C6" s="53" t="s">
        <v>80</v>
      </c>
      <c r="D6" s="47"/>
      <c r="E6" s="53" t="s">
        <v>81</v>
      </c>
      <c r="F6" s="53" t="s">
        <v>82</v>
      </c>
      <c r="G6" s="47"/>
    </row>
    <row r="7" spans="1:7" ht="24.95" customHeight="1" x14ac:dyDescent="0.25">
      <c r="A7" s="54" t="s">
        <v>70</v>
      </c>
      <c r="B7" s="47"/>
      <c r="C7" s="54">
        <f>COUNTIF(C11:C66,"?*")</f>
        <v>56</v>
      </c>
      <c r="D7" s="47"/>
      <c r="E7" s="54">
        <f>56-COUNTIF(C11:C66,"?*")</f>
        <v>0</v>
      </c>
      <c r="F7" s="57" t="s">
        <v>83</v>
      </c>
      <c r="G7" s="47"/>
    </row>
    <row r="8" spans="1:7" ht="24.95" customHeight="1" x14ac:dyDescent="0.25">
      <c r="A8" s="50" t="s">
        <v>84</v>
      </c>
      <c r="B8" s="25"/>
      <c r="C8" s="25"/>
      <c r="D8" s="25"/>
      <c r="E8" s="25"/>
      <c r="F8" s="25"/>
      <c r="G8" s="26"/>
    </row>
    <row r="9" spans="1:7" ht="24.95" customHeight="1" x14ac:dyDescent="0.25">
      <c r="A9" s="29"/>
      <c r="B9" s="30"/>
      <c r="C9" s="30"/>
      <c r="D9" s="30"/>
      <c r="E9" s="30"/>
      <c r="F9" s="30"/>
      <c r="G9" s="31"/>
    </row>
    <row r="10" spans="1:7" ht="32.1" customHeight="1" x14ac:dyDescent="0.25">
      <c r="A10" s="1" t="s">
        <v>85</v>
      </c>
      <c r="B10" s="1" t="s">
        <v>86</v>
      </c>
      <c r="C10" s="1" t="s">
        <v>87</v>
      </c>
      <c r="D10" s="1" t="s">
        <v>88</v>
      </c>
      <c r="E10" s="1" t="s">
        <v>89</v>
      </c>
      <c r="F10" s="1" t="s">
        <v>90</v>
      </c>
      <c r="G10" s="1" t="s">
        <v>91</v>
      </c>
    </row>
    <row r="11" spans="1:7" ht="26.1" customHeight="1" x14ac:dyDescent="0.25">
      <c r="A11" s="2">
        <v>1</v>
      </c>
      <c r="B11" s="3">
        <v>1</v>
      </c>
      <c r="C11" s="4" t="s">
        <v>121</v>
      </c>
      <c r="D11" s="5"/>
      <c r="E11" s="6" t="s">
        <v>92</v>
      </c>
      <c r="F11" s="5"/>
      <c r="G11" s="7" t="str">
        <f t="shared" ref="G11:G42" si="0">IF(C11="","CHƯA XẾP","ĐÃ XẾP")</f>
        <v>ĐÃ XẾP</v>
      </c>
    </row>
    <row r="12" spans="1:7" ht="26.1" customHeight="1" x14ac:dyDescent="0.25">
      <c r="A12" s="8">
        <v>2</v>
      </c>
      <c r="B12" s="9">
        <v>2</v>
      </c>
      <c r="C12" s="4" t="s">
        <v>128</v>
      </c>
      <c r="D12" s="5"/>
      <c r="E12" s="10" t="s">
        <v>92</v>
      </c>
      <c r="F12" s="5"/>
      <c r="G12" s="11" t="str">
        <f t="shared" si="0"/>
        <v>ĐÃ XẾP</v>
      </c>
    </row>
    <row r="13" spans="1:7" ht="26.1" customHeight="1" x14ac:dyDescent="0.25">
      <c r="A13" s="2">
        <v>3</v>
      </c>
      <c r="B13" s="3">
        <v>3</v>
      </c>
      <c r="C13" s="4" t="s">
        <v>122</v>
      </c>
      <c r="D13" s="5"/>
      <c r="E13" s="6" t="s">
        <v>93</v>
      </c>
      <c r="F13" s="5"/>
      <c r="G13" s="7" t="str">
        <f t="shared" si="0"/>
        <v>ĐÃ XẾP</v>
      </c>
    </row>
    <row r="14" spans="1:7" ht="26.1" customHeight="1" x14ac:dyDescent="0.25">
      <c r="A14" s="8">
        <v>4</v>
      </c>
      <c r="B14" s="9">
        <v>4</v>
      </c>
      <c r="C14" s="4" t="s">
        <v>154</v>
      </c>
      <c r="D14" s="5"/>
      <c r="E14" s="10" t="s">
        <v>93</v>
      </c>
      <c r="F14" s="5"/>
      <c r="G14" s="11" t="str">
        <f t="shared" si="0"/>
        <v>ĐÃ XẾP</v>
      </c>
    </row>
    <row r="15" spans="1:7" ht="26.1" customHeight="1" x14ac:dyDescent="0.25">
      <c r="A15" s="2">
        <v>5</v>
      </c>
      <c r="B15" s="3">
        <v>5</v>
      </c>
      <c r="C15" s="4" t="s">
        <v>123</v>
      </c>
      <c r="D15" s="5"/>
      <c r="E15" s="6" t="s">
        <v>94</v>
      </c>
      <c r="F15" s="5"/>
      <c r="G15" s="7" t="str">
        <f t="shared" si="0"/>
        <v>ĐÃ XẾP</v>
      </c>
    </row>
    <row r="16" spans="1:7" ht="26.1" customHeight="1" x14ac:dyDescent="0.25">
      <c r="A16" s="8">
        <v>6</v>
      </c>
      <c r="B16" s="9">
        <v>6</v>
      </c>
      <c r="C16" s="4" t="s">
        <v>130</v>
      </c>
      <c r="D16" s="5"/>
      <c r="E16" s="10" t="s">
        <v>94</v>
      </c>
      <c r="F16" s="5"/>
      <c r="G16" s="11" t="str">
        <f t="shared" si="0"/>
        <v>ĐÃ XẾP</v>
      </c>
    </row>
    <row r="17" spans="1:7" ht="26.1" customHeight="1" x14ac:dyDescent="0.25">
      <c r="A17" s="2">
        <v>7</v>
      </c>
      <c r="B17" s="3">
        <v>7</v>
      </c>
      <c r="C17" s="4" t="s">
        <v>125</v>
      </c>
      <c r="D17" s="5"/>
      <c r="E17" s="6" t="s">
        <v>95</v>
      </c>
      <c r="F17" s="5"/>
      <c r="G17" s="7" t="str">
        <f t="shared" si="0"/>
        <v>ĐÃ XẾP</v>
      </c>
    </row>
    <row r="18" spans="1:7" ht="26.1" customHeight="1" x14ac:dyDescent="0.25">
      <c r="A18" s="8">
        <v>8</v>
      </c>
      <c r="B18" s="9">
        <v>8</v>
      </c>
      <c r="C18" s="4" t="s">
        <v>124</v>
      </c>
      <c r="D18" s="5"/>
      <c r="E18" s="10" t="s">
        <v>95</v>
      </c>
      <c r="F18" s="5"/>
      <c r="G18" s="11" t="str">
        <f t="shared" si="0"/>
        <v>ĐÃ XẾP</v>
      </c>
    </row>
    <row r="19" spans="1:7" ht="26.1" customHeight="1" x14ac:dyDescent="0.25">
      <c r="A19" s="2">
        <v>9</v>
      </c>
      <c r="B19" s="3">
        <v>9</v>
      </c>
      <c r="C19" s="4" t="s">
        <v>131</v>
      </c>
      <c r="D19" s="5"/>
      <c r="E19" s="6" t="s">
        <v>95</v>
      </c>
      <c r="F19" s="5"/>
      <c r="G19" s="7" t="str">
        <f t="shared" si="0"/>
        <v>ĐÃ XẾP</v>
      </c>
    </row>
    <row r="20" spans="1:7" ht="26.1" customHeight="1" x14ac:dyDescent="0.25">
      <c r="A20" s="8">
        <v>10</v>
      </c>
      <c r="B20" s="9">
        <v>10</v>
      </c>
      <c r="C20" s="4" t="s">
        <v>132</v>
      </c>
      <c r="D20" s="5"/>
      <c r="E20" s="10" t="s">
        <v>95</v>
      </c>
      <c r="F20" s="5"/>
      <c r="G20" s="11" t="str">
        <f t="shared" si="0"/>
        <v>ĐÃ XẾP</v>
      </c>
    </row>
    <row r="21" spans="1:7" ht="26.1" customHeight="1" x14ac:dyDescent="0.25">
      <c r="A21" s="2">
        <v>11</v>
      </c>
      <c r="B21" s="3">
        <v>11</v>
      </c>
      <c r="C21" s="4" t="s">
        <v>143</v>
      </c>
      <c r="D21" s="5"/>
      <c r="E21" s="6" t="s">
        <v>94</v>
      </c>
      <c r="F21" s="5"/>
      <c r="G21" s="7" t="str">
        <f t="shared" si="0"/>
        <v>ĐÃ XẾP</v>
      </c>
    </row>
    <row r="22" spans="1:7" ht="26.1" customHeight="1" x14ac:dyDescent="0.25">
      <c r="A22" s="8">
        <v>12</v>
      </c>
      <c r="B22" s="9">
        <v>12</v>
      </c>
      <c r="C22" s="4" t="s">
        <v>144</v>
      </c>
      <c r="D22" s="5"/>
      <c r="E22" s="10" t="s">
        <v>94</v>
      </c>
      <c r="F22" s="5"/>
      <c r="G22" s="11" t="str">
        <f t="shared" si="0"/>
        <v>ĐÃ XẾP</v>
      </c>
    </row>
    <row r="23" spans="1:7" ht="26.1" customHeight="1" x14ac:dyDescent="0.25">
      <c r="A23" s="2">
        <v>13</v>
      </c>
      <c r="B23" s="3">
        <v>13</v>
      </c>
      <c r="C23" s="4" t="s">
        <v>145</v>
      </c>
      <c r="D23" s="5"/>
      <c r="E23" s="6" t="s">
        <v>93</v>
      </c>
      <c r="F23" s="5"/>
      <c r="G23" s="7" t="str">
        <f t="shared" si="0"/>
        <v>ĐÃ XẾP</v>
      </c>
    </row>
    <row r="24" spans="1:7" ht="26.1" customHeight="1" x14ac:dyDescent="0.25">
      <c r="A24" s="8">
        <v>14</v>
      </c>
      <c r="B24" s="9">
        <v>14</v>
      </c>
      <c r="C24" s="4" t="s">
        <v>146</v>
      </c>
      <c r="D24" s="5"/>
      <c r="E24" s="10" t="s">
        <v>93</v>
      </c>
      <c r="F24" s="5"/>
      <c r="G24" s="11" t="str">
        <f t="shared" si="0"/>
        <v>ĐÃ XẾP</v>
      </c>
    </row>
    <row r="25" spans="1:7" ht="26.1" customHeight="1" x14ac:dyDescent="0.25">
      <c r="A25" s="2">
        <v>15</v>
      </c>
      <c r="B25" s="3">
        <v>15</v>
      </c>
      <c r="C25" s="4" t="s">
        <v>147</v>
      </c>
      <c r="D25" s="5"/>
      <c r="E25" s="6" t="s">
        <v>92</v>
      </c>
      <c r="F25" s="5"/>
      <c r="G25" s="7" t="str">
        <f t="shared" si="0"/>
        <v>ĐÃ XẾP</v>
      </c>
    </row>
    <row r="26" spans="1:7" ht="26.1" customHeight="1" x14ac:dyDescent="0.25">
      <c r="A26" s="8">
        <v>16</v>
      </c>
      <c r="B26" s="9">
        <v>16</v>
      </c>
      <c r="C26" s="4" t="s">
        <v>148</v>
      </c>
      <c r="D26" s="5"/>
      <c r="E26" s="10" t="s">
        <v>92</v>
      </c>
      <c r="F26" s="5"/>
      <c r="G26" s="11" t="str">
        <f t="shared" si="0"/>
        <v>ĐÃ XẾP</v>
      </c>
    </row>
    <row r="27" spans="1:7" ht="26.1" customHeight="1" x14ac:dyDescent="0.25">
      <c r="A27" s="2">
        <v>17</v>
      </c>
      <c r="B27" s="3">
        <v>17</v>
      </c>
      <c r="C27" s="4" t="s">
        <v>107</v>
      </c>
      <c r="D27" s="5"/>
      <c r="E27" s="6" t="s">
        <v>96</v>
      </c>
      <c r="F27" s="5"/>
      <c r="G27" s="7" t="str">
        <f t="shared" si="0"/>
        <v>ĐÃ XẾP</v>
      </c>
    </row>
    <row r="28" spans="1:7" ht="26.1" customHeight="1" x14ac:dyDescent="0.25">
      <c r="A28" s="8">
        <v>18</v>
      </c>
      <c r="B28" s="9">
        <v>18</v>
      </c>
      <c r="C28" s="4" t="s">
        <v>112</v>
      </c>
      <c r="D28" s="5"/>
      <c r="E28" s="10" t="s">
        <v>96</v>
      </c>
      <c r="F28" s="5"/>
      <c r="G28" s="11" t="str">
        <f t="shared" si="0"/>
        <v>ĐÃ XẾP</v>
      </c>
    </row>
    <row r="29" spans="1:7" ht="26.1" customHeight="1" x14ac:dyDescent="0.25">
      <c r="A29" s="2">
        <v>19</v>
      </c>
      <c r="B29" s="3">
        <v>19</v>
      </c>
      <c r="C29" s="4" t="s">
        <v>113</v>
      </c>
      <c r="D29" s="5"/>
      <c r="E29" s="6" t="s">
        <v>96</v>
      </c>
      <c r="F29" s="5"/>
      <c r="G29" s="7" t="str">
        <f t="shared" si="0"/>
        <v>ĐÃ XẾP</v>
      </c>
    </row>
    <row r="30" spans="1:7" ht="26.1" customHeight="1" x14ac:dyDescent="0.25">
      <c r="A30" s="8">
        <v>20</v>
      </c>
      <c r="B30" s="9">
        <v>20</v>
      </c>
      <c r="C30" s="4" t="s">
        <v>129</v>
      </c>
      <c r="D30" s="5"/>
      <c r="E30" s="10" t="s">
        <v>96</v>
      </c>
      <c r="F30" s="5"/>
      <c r="G30" s="11" t="str">
        <f t="shared" si="0"/>
        <v>ĐÃ XẾP</v>
      </c>
    </row>
    <row r="31" spans="1:7" ht="26.1" customHeight="1" x14ac:dyDescent="0.25">
      <c r="A31" s="2">
        <v>21</v>
      </c>
      <c r="B31" s="3">
        <v>21</v>
      </c>
      <c r="C31" s="4" t="s">
        <v>133</v>
      </c>
      <c r="D31" s="5"/>
      <c r="E31" s="6" t="s">
        <v>96</v>
      </c>
      <c r="F31" s="5"/>
      <c r="G31" s="7" t="str">
        <f t="shared" si="0"/>
        <v>ĐÃ XẾP</v>
      </c>
    </row>
    <row r="32" spans="1:7" ht="26.1" customHeight="1" x14ac:dyDescent="0.25">
      <c r="A32" s="8">
        <v>22</v>
      </c>
      <c r="B32" s="9">
        <v>22</v>
      </c>
      <c r="C32" s="4" t="s">
        <v>134</v>
      </c>
      <c r="D32" s="5"/>
      <c r="E32" s="10" t="s">
        <v>96</v>
      </c>
      <c r="F32" s="5"/>
      <c r="G32" s="11" t="str">
        <f t="shared" si="0"/>
        <v>ĐÃ XẾP</v>
      </c>
    </row>
    <row r="33" spans="1:7" ht="26.1" customHeight="1" x14ac:dyDescent="0.25">
      <c r="A33" s="2">
        <v>23</v>
      </c>
      <c r="B33" s="3">
        <v>23</v>
      </c>
      <c r="C33" s="4" t="s">
        <v>135</v>
      </c>
      <c r="D33" s="5"/>
      <c r="E33" s="6" t="s">
        <v>96</v>
      </c>
      <c r="F33" s="5"/>
      <c r="G33" s="7" t="str">
        <f t="shared" si="0"/>
        <v>ĐÃ XẾP</v>
      </c>
    </row>
    <row r="34" spans="1:7" ht="26.1" customHeight="1" x14ac:dyDescent="0.25">
      <c r="A34" s="8">
        <v>24</v>
      </c>
      <c r="B34" s="9">
        <v>24</v>
      </c>
      <c r="C34" s="4" t="s">
        <v>136</v>
      </c>
      <c r="D34" s="5"/>
      <c r="E34" s="10" t="s">
        <v>96</v>
      </c>
      <c r="F34" s="5"/>
      <c r="G34" s="11" t="str">
        <f t="shared" si="0"/>
        <v>ĐÃ XẾP</v>
      </c>
    </row>
    <row r="35" spans="1:7" ht="26.1" customHeight="1" x14ac:dyDescent="0.25">
      <c r="A35" s="2">
        <v>25</v>
      </c>
      <c r="B35" s="3">
        <v>25</v>
      </c>
      <c r="C35" s="4" t="s">
        <v>108</v>
      </c>
      <c r="D35" s="5"/>
      <c r="E35" s="6" t="s">
        <v>97</v>
      </c>
      <c r="F35" s="5"/>
      <c r="G35" s="7" t="str">
        <f t="shared" si="0"/>
        <v>ĐÃ XẾP</v>
      </c>
    </row>
    <row r="36" spans="1:7" ht="26.1" customHeight="1" x14ac:dyDescent="0.25">
      <c r="A36" s="8">
        <v>26</v>
      </c>
      <c r="B36" s="9">
        <v>26</v>
      </c>
      <c r="C36" s="4" t="s">
        <v>126</v>
      </c>
      <c r="D36" s="5"/>
      <c r="E36" s="10" t="s">
        <v>97</v>
      </c>
      <c r="F36" s="5"/>
      <c r="G36" s="11" t="str">
        <f t="shared" si="0"/>
        <v>ĐÃ XẾP</v>
      </c>
    </row>
    <row r="37" spans="1:7" ht="26.1" customHeight="1" x14ac:dyDescent="0.25">
      <c r="A37" s="2">
        <v>27</v>
      </c>
      <c r="B37" s="3">
        <v>27</v>
      </c>
      <c r="C37" s="4" t="s">
        <v>127</v>
      </c>
      <c r="D37" s="5"/>
      <c r="E37" s="6" t="s">
        <v>97</v>
      </c>
      <c r="F37" s="5"/>
      <c r="G37" s="7" t="str">
        <f t="shared" si="0"/>
        <v>ĐÃ XẾP</v>
      </c>
    </row>
    <row r="38" spans="1:7" ht="26.1" customHeight="1" x14ac:dyDescent="0.25">
      <c r="A38" s="8">
        <v>28</v>
      </c>
      <c r="B38" s="9">
        <v>28</v>
      </c>
      <c r="C38" s="4" t="s">
        <v>137</v>
      </c>
      <c r="D38" s="5"/>
      <c r="E38" s="10" t="s">
        <v>97</v>
      </c>
      <c r="F38" s="5"/>
      <c r="G38" s="11" t="str">
        <f t="shared" si="0"/>
        <v>ĐÃ XẾP</v>
      </c>
    </row>
    <row r="39" spans="1:7" ht="26.1" customHeight="1" x14ac:dyDescent="0.25">
      <c r="A39" s="2">
        <v>29</v>
      </c>
      <c r="B39" s="3">
        <v>29</v>
      </c>
      <c r="C39" s="4" t="s">
        <v>138</v>
      </c>
      <c r="D39" s="5"/>
      <c r="E39" s="6" t="s">
        <v>97</v>
      </c>
      <c r="F39" s="5"/>
      <c r="G39" s="7" t="str">
        <f t="shared" si="0"/>
        <v>ĐÃ XẾP</v>
      </c>
    </row>
    <row r="40" spans="1:7" ht="26.1" customHeight="1" x14ac:dyDescent="0.25">
      <c r="A40" s="8">
        <v>30</v>
      </c>
      <c r="B40" s="9">
        <v>30</v>
      </c>
      <c r="C40" s="4" t="s">
        <v>139</v>
      </c>
      <c r="D40" s="5"/>
      <c r="E40" s="10" t="s">
        <v>97</v>
      </c>
      <c r="F40" s="5"/>
      <c r="G40" s="11" t="str">
        <f t="shared" si="0"/>
        <v>ĐÃ XẾP</v>
      </c>
    </row>
    <row r="41" spans="1:7" ht="26.1" customHeight="1" x14ac:dyDescent="0.25">
      <c r="A41" s="2">
        <v>31</v>
      </c>
      <c r="B41" s="3">
        <v>31</v>
      </c>
      <c r="C41" s="4" t="s">
        <v>140</v>
      </c>
      <c r="D41" s="5"/>
      <c r="E41" s="6" t="s">
        <v>97</v>
      </c>
      <c r="F41" s="5"/>
      <c r="G41" s="7" t="str">
        <f t="shared" si="0"/>
        <v>ĐÃ XẾP</v>
      </c>
    </row>
    <row r="42" spans="1:7" ht="26.1" customHeight="1" x14ac:dyDescent="0.25">
      <c r="A42" s="8">
        <v>32</v>
      </c>
      <c r="B42" s="9">
        <v>32</v>
      </c>
      <c r="C42" s="4" t="s">
        <v>149</v>
      </c>
      <c r="D42" s="5"/>
      <c r="E42" s="10" t="s">
        <v>97</v>
      </c>
      <c r="F42" s="5"/>
      <c r="G42" s="11" t="str">
        <f t="shared" si="0"/>
        <v>ĐÃ XẾP</v>
      </c>
    </row>
    <row r="43" spans="1:7" ht="26.1" customHeight="1" x14ac:dyDescent="0.25">
      <c r="A43" s="2">
        <v>33</v>
      </c>
      <c r="B43" s="3">
        <v>33</v>
      </c>
      <c r="C43" s="4" t="s">
        <v>109</v>
      </c>
      <c r="D43" s="5"/>
      <c r="E43" s="6" t="s">
        <v>98</v>
      </c>
      <c r="F43" s="5"/>
      <c r="G43" s="7" t="str">
        <f t="shared" ref="G43:G66" si="1">IF(C43="","CHƯA XẾP","ĐÃ XẾP")</f>
        <v>ĐÃ XẾP</v>
      </c>
    </row>
    <row r="44" spans="1:7" ht="26.1" customHeight="1" x14ac:dyDescent="0.25">
      <c r="A44" s="8">
        <v>34</v>
      </c>
      <c r="B44" s="9">
        <v>34</v>
      </c>
      <c r="C44" s="4" t="s">
        <v>114</v>
      </c>
      <c r="D44" s="5"/>
      <c r="E44" s="10" t="s">
        <v>98</v>
      </c>
      <c r="F44" s="5"/>
      <c r="G44" s="11" t="str">
        <f t="shared" si="1"/>
        <v>ĐÃ XẾP</v>
      </c>
    </row>
    <row r="45" spans="1:7" ht="26.1" customHeight="1" x14ac:dyDescent="0.25">
      <c r="A45" s="2">
        <v>35</v>
      </c>
      <c r="B45" s="3">
        <v>35</v>
      </c>
      <c r="C45" s="4" t="s">
        <v>115</v>
      </c>
      <c r="D45" s="5"/>
      <c r="E45" s="6" t="s">
        <v>98</v>
      </c>
      <c r="F45" s="5"/>
      <c r="G45" s="7" t="str">
        <f t="shared" si="1"/>
        <v>ĐÃ XẾP</v>
      </c>
    </row>
    <row r="46" spans="1:7" ht="26.1" customHeight="1" x14ac:dyDescent="0.25">
      <c r="A46" s="8">
        <v>36</v>
      </c>
      <c r="B46" s="9">
        <v>36</v>
      </c>
      <c r="C46" s="4" t="s">
        <v>150</v>
      </c>
      <c r="D46" s="5"/>
      <c r="E46" s="10" t="s">
        <v>98</v>
      </c>
      <c r="F46" s="5"/>
      <c r="G46" s="11" t="str">
        <f t="shared" si="1"/>
        <v>ĐÃ XẾP</v>
      </c>
    </row>
    <row r="47" spans="1:7" ht="26.1" customHeight="1" x14ac:dyDescent="0.25">
      <c r="A47" s="2">
        <v>37</v>
      </c>
      <c r="B47" s="3">
        <v>37</v>
      </c>
      <c r="C47" s="4" t="s">
        <v>151</v>
      </c>
      <c r="D47" s="5"/>
      <c r="E47" s="6" t="s">
        <v>98</v>
      </c>
      <c r="F47" s="5"/>
      <c r="G47" s="7" t="str">
        <f t="shared" si="1"/>
        <v>ĐÃ XẾP</v>
      </c>
    </row>
    <row r="48" spans="1:7" ht="26.1" customHeight="1" x14ac:dyDescent="0.25">
      <c r="A48" s="8">
        <v>38</v>
      </c>
      <c r="B48" s="9">
        <v>38</v>
      </c>
      <c r="C48" s="4" t="s">
        <v>152</v>
      </c>
      <c r="D48" s="5"/>
      <c r="E48" s="10" t="s">
        <v>98</v>
      </c>
      <c r="F48" s="5"/>
      <c r="G48" s="11" t="str">
        <f t="shared" si="1"/>
        <v>ĐÃ XẾP</v>
      </c>
    </row>
    <row r="49" spans="1:7" ht="26.1" customHeight="1" x14ac:dyDescent="0.25">
      <c r="A49" s="2">
        <v>39</v>
      </c>
      <c r="B49" s="3">
        <v>39</v>
      </c>
      <c r="C49" s="4" t="s">
        <v>141</v>
      </c>
      <c r="D49" s="5"/>
      <c r="E49" s="6" t="s">
        <v>99</v>
      </c>
      <c r="F49" s="5"/>
      <c r="G49" s="7" t="str">
        <f t="shared" si="1"/>
        <v>ĐÃ XẾP</v>
      </c>
    </row>
    <row r="50" spans="1:7" ht="26.1" customHeight="1" x14ac:dyDescent="0.25">
      <c r="A50" s="8">
        <v>40</v>
      </c>
      <c r="B50" s="9">
        <v>40</v>
      </c>
      <c r="C50" s="4" t="s">
        <v>142</v>
      </c>
      <c r="D50" s="5"/>
      <c r="E50" s="10" t="s">
        <v>99</v>
      </c>
      <c r="F50" s="5"/>
      <c r="G50" s="11" t="str">
        <f t="shared" si="1"/>
        <v>ĐÃ XẾP</v>
      </c>
    </row>
    <row r="51" spans="1:7" ht="26.1" customHeight="1" x14ac:dyDescent="0.25">
      <c r="A51" s="2">
        <v>41</v>
      </c>
      <c r="B51" s="3">
        <v>41</v>
      </c>
      <c r="C51" s="4" t="s">
        <v>116</v>
      </c>
      <c r="D51" s="5"/>
      <c r="E51" s="6" t="s">
        <v>99</v>
      </c>
      <c r="F51" s="5"/>
      <c r="G51" s="7" t="str">
        <f t="shared" si="1"/>
        <v>ĐÃ XẾP</v>
      </c>
    </row>
    <row r="52" spans="1:7" ht="26.1" customHeight="1" x14ac:dyDescent="0.25">
      <c r="A52" s="8">
        <v>42</v>
      </c>
      <c r="B52" s="9">
        <v>42</v>
      </c>
      <c r="C52" s="4" t="s">
        <v>117</v>
      </c>
      <c r="D52" s="5"/>
      <c r="E52" s="10" t="s">
        <v>99</v>
      </c>
      <c r="F52" s="5"/>
      <c r="G52" s="11" t="str">
        <f t="shared" si="1"/>
        <v>ĐÃ XẾP</v>
      </c>
    </row>
    <row r="53" spans="1:7" ht="26.1" customHeight="1" x14ac:dyDescent="0.25">
      <c r="A53" s="2">
        <v>43</v>
      </c>
      <c r="B53" s="3">
        <v>43</v>
      </c>
      <c r="C53" s="4" t="s">
        <v>110</v>
      </c>
      <c r="D53" s="5"/>
      <c r="E53" s="6" t="s">
        <v>99</v>
      </c>
      <c r="F53" s="5"/>
      <c r="G53" s="7" t="str">
        <f t="shared" si="1"/>
        <v>ĐÃ XẾP</v>
      </c>
    </row>
    <row r="54" spans="1:7" ht="26.1" customHeight="1" x14ac:dyDescent="0.25">
      <c r="A54" s="8">
        <v>44</v>
      </c>
      <c r="B54" s="9">
        <v>44</v>
      </c>
      <c r="C54" s="4" t="s">
        <v>118</v>
      </c>
      <c r="D54" s="5"/>
      <c r="E54" s="10" t="s">
        <v>99</v>
      </c>
      <c r="F54" s="5"/>
      <c r="G54" s="11" t="str">
        <f t="shared" si="1"/>
        <v>ĐÃ XẾP</v>
      </c>
    </row>
    <row r="55" spans="1:7" ht="26.1" customHeight="1" x14ac:dyDescent="0.25">
      <c r="A55" s="2">
        <v>45</v>
      </c>
      <c r="B55" s="3">
        <v>45</v>
      </c>
      <c r="C55" s="4" t="s">
        <v>100</v>
      </c>
      <c r="D55" s="5"/>
      <c r="E55" s="6" t="s">
        <v>101</v>
      </c>
      <c r="F55" s="5"/>
      <c r="G55" s="7" t="str">
        <f t="shared" si="1"/>
        <v>ĐÃ XẾP</v>
      </c>
    </row>
    <row r="56" spans="1:7" ht="26.1" customHeight="1" x14ac:dyDescent="0.25">
      <c r="A56" s="8">
        <v>46</v>
      </c>
      <c r="B56" s="9">
        <v>46</v>
      </c>
      <c r="C56" s="4" t="s">
        <v>102</v>
      </c>
      <c r="D56" s="5"/>
      <c r="E56" s="10" t="s">
        <v>101</v>
      </c>
      <c r="F56" s="5"/>
      <c r="G56" s="11" t="str">
        <f t="shared" si="1"/>
        <v>ĐÃ XẾP</v>
      </c>
    </row>
    <row r="57" spans="1:7" ht="26.1" customHeight="1" x14ac:dyDescent="0.25">
      <c r="A57" s="2">
        <v>47</v>
      </c>
      <c r="B57" s="3">
        <v>47</v>
      </c>
      <c r="C57" s="4" t="s">
        <v>103</v>
      </c>
      <c r="D57" s="5"/>
      <c r="E57" s="6" t="s">
        <v>101</v>
      </c>
      <c r="F57" s="5"/>
      <c r="G57" s="7" t="str">
        <f t="shared" si="1"/>
        <v>ĐÃ XẾP</v>
      </c>
    </row>
    <row r="58" spans="1:7" ht="26.1" customHeight="1" x14ac:dyDescent="0.25">
      <c r="A58" s="8">
        <v>48</v>
      </c>
      <c r="B58" s="9">
        <v>48</v>
      </c>
      <c r="C58" s="4" t="s">
        <v>106</v>
      </c>
      <c r="D58" s="5"/>
      <c r="E58" s="10" t="s">
        <v>101</v>
      </c>
      <c r="F58" s="5"/>
      <c r="G58" s="11" t="str">
        <f t="shared" si="1"/>
        <v>ĐÃ XẾP</v>
      </c>
    </row>
    <row r="59" spans="1:7" ht="26.1" customHeight="1" x14ac:dyDescent="0.25">
      <c r="A59" s="2">
        <v>49</v>
      </c>
      <c r="B59" s="3">
        <v>49</v>
      </c>
      <c r="C59" s="4" t="s">
        <v>105</v>
      </c>
      <c r="D59" s="5"/>
      <c r="E59" s="6" t="s">
        <v>101</v>
      </c>
      <c r="F59" s="5"/>
      <c r="G59" s="7" t="str">
        <f t="shared" si="1"/>
        <v>ĐÃ XẾP</v>
      </c>
    </row>
    <row r="60" spans="1:7" ht="26.1" customHeight="1" x14ac:dyDescent="0.25">
      <c r="A60" s="8">
        <v>50</v>
      </c>
      <c r="B60" s="9">
        <v>50</v>
      </c>
      <c r="C60" s="4" t="s">
        <v>106</v>
      </c>
      <c r="D60" s="5"/>
      <c r="E60" s="10" t="s">
        <v>101</v>
      </c>
      <c r="F60" s="5"/>
      <c r="G60" s="11" t="str">
        <f t="shared" si="1"/>
        <v>ĐÃ XẾP</v>
      </c>
    </row>
    <row r="61" spans="1:7" ht="26.1" customHeight="1" x14ac:dyDescent="0.25">
      <c r="A61" s="2">
        <v>51</v>
      </c>
      <c r="B61" s="3">
        <v>51</v>
      </c>
      <c r="C61" s="4" t="s">
        <v>155</v>
      </c>
      <c r="D61" s="5"/>
      <c r="E61" s="6" t="s">
        <v>104</v>
      </c>
      <c r="F61" s="5"/>
      <c r="G61" s="7" t="str">
        <f t="shared" si="1"/>
        <v>ĐÃ XẾP</v>
      </c>
    </row>
    <row r="62" spans="1:7" ht="26.1" customHeight="1" x14ac:dyDescent="0.25">
      <c r="A62" s="8">
        <v>52</v>
      </c>
      <c r="B62" s="9">
        <v>52</v>
      </c>
      <c r="C62" s="4" t="s">
        <v>156</v>
      </c>
      <c r="D62" s="5"/>
      <c r="E62" s="10" t="s">
        <v>104</v>
      </c>
      <c r="F62" s="5"/>
      <c r="G62" s="11" t="str">
        <f t="shared" si="1"/>
        <v>ĐÃ XẾP</v>
      </c>
    </row>
    <row r="63" spans="1:7" ht="26.1" customHeight="1" x14ac:dyDescent="0.25">
      <c r="A63" s="2">
        <v>53</v>
      </c>
      <c r="B63" s="3">
        <v>53</v>
      </c>
      <c r="C63" s="4" t="s">
        <v>119</v>
      </c>
      <c r="D63" s="5"/>
      <c r="E63" s="6" t="s">
        <v>104</v>
      </c>
      <c r="F63" s="5"/>
      <c r="G63" s="7" t="str">
        <f t="shared" si="1"/>
        <v>ĐÃ XẾP</v>
      </c>
    </row>
    <row r="64" spans="1:7" ht="26.1" customHeight="1" x14ac:dyDescent="0.25">
      <c r="A64" s="8">
        <v>54</v>
      </c>
      <c r="B64" s="9">
        <v>54</v>
      </c>
      <c r="C64" s="4" t="s">
        <v>153</v>
      </c>
      <c r="D64" s="5"/>
      <c r="E64" s="10" t="s">
        <v>104</v>
      </c>
      <c r="F64" s="5"/>
      <c r="G64" s="11" t="str">
        <f t="shared" si="1"/>
        <v>ĐÃ XẾP</v>
      </c>
    </row>
    <row r="65" spans="1:7" ht="26.1" customHeight="1" x14ac:dyDescent="0.25">
      <c r="A65" s="2">
        <v>55</v>
      </c>
      <c r="B65" s="3">
        <v>55</v>
      </c>
      <c r="C65" s="4" t="s">
        <v>120</v>
      </c>
      <c r="D65" s="5"/>
      <c r="E65" s="6" t="s">
        <v>104</v>
      </c>
      <c r="F65" s="5"/>
      <c r="G65" s="7" t="str">
        <f t="shared" si="1"/>
        <v>ĐÃ XẾP</v>
      </c>
    </row>
    <row r="66" spans="1:7" ht="26.1" customHeight="1" x14ac:dyDescent="0.25">
      <c r="A66" s="8">
        <v>56</v>
      </c>
      <c r="B66" s="9">
        <v>56</v>
      </c>
      <c r="C66" s="4" t="s">
        <v>111</v>
      </c>
      <c r="D66" s="5"/>
      <c r="E66" s="10" t="s">
        <v>104</v>
      </c>
      <c r="F66" s="5"/>
      <c r="G66" s="11" t="str">
        <f t="shared" si="1"/>
        <v>ĐÃ XẾP</v>
      </c>
    </row>
    <row r="67" spans="1:7" ht="24.95" customHeight="1" x14ac:dyDescent="0.25"/>
    <row r="68" spans="1:7" ht="24.95" customHeight="1" x14ac:dyDescent="0.25"/>
    <row r="69" spans="1:7" ht="24.95" customHeight="1" x14ac:dyDescent="0.25"/>
  </sheetData>
  <autoFilter ref="A10:G66" xr:uid="{00000000-0009-0000-0000-000001000000}"/>
  <mergeCells count="11">
    <mergeCell ref="C6:D6"/>
    <mergeCell ref="C7:D7"/>
    <mergeCell ref="A1:G2"/>
    <mergeCell ref="A7:B7"/>
    <mergeCell ref="A8:G9"/>
    <mergeCell ref="A3:G4"/>
    <mergeCell ref="E7"/>
    <mergeCell ref="E6"/>
    <mergeCell ref="F6:G6"/>
    <mergeCell ref="A6:B6"/>
    <mergeCell ref="F7:G7"/>
  </mergeCells>
  <conditionalFormatting sqref="G11:G66">
    <cfRule type="expression" dxfId="0" priority="1">
      <formula>$G11="ĐÃ XẾP"</formula>
    </cfRule>
  </conditionalFormatting>
  <dataValidations count="1">
    <dataValidation type="textLength" operator="lessThanOrEqual" allowBlank="1" showErrorMessage="1" error="Nội dung quá 100 ký tự." sqref="F11:F66 C11:D66" xr:uid="{00000000-0002-0000-0100-000000000000}">
      <formula1>100</formula1>
    </dataValidation>
  </dataValidations>
  <pageMargins left="0.25" right="0.25" top="0.35" bottom="0.35" header="0.15" footer="0.2"/>
  <pageSetup paperSize="9" fitToHeight="0" orientation="portrait"/>
  <headerFooter>
    <oddFooter>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SƠ ĐỒ BÀN</vt:lpstr>
      <vt:lpstr>DANH SÁCH KHÁCH</vt:lpstr>
      <vt:lpstr>'DANH SÁCH KHÁCH'!Print_Area</vt:lpstr>
      <vt:lpstr>'SƠ ĐỒ BÀN'!Print_Area</vt:lpstr>
      <vt:lpstr>'DANH SÁCH KHÁCH'!Print_Titles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BÙI HOÀNG DUY</cp:lastModifiedBy>
  <dcterms:created xsi:type="dcterms:W3CDTF">2026-10-12T12:50:50Z</dcterms:created>
  <dcterms:modified xsi:type="dcterms:W3CDTF">2026-10-12T13:04:44Z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